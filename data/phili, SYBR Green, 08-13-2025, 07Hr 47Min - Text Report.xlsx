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tonbdemesquita/Desktop/Fierer/AndesAg/"/>
    </mc:Choice>
  </mc:AlternateContent>
  <xr:revisionPtr revIDLastSave="0" documentId="13_ncr:1_{2F266F96-E460-B742-A63C-DC9F7108F339}" xr6:coauthVersionLast="47" xr6:coauthVersionMax="47" xr10:uidLastSave="{00000000-0000-0000-0000-000000000000}"/>
  <bookViews>
    <workbookView xWindow="0" yWindow="500" windowWidth="35840" windowHeight="20780" activeTab="1" xr2:uid="{69644E9E-C5DA-466F-A685-6DA80388D64E}"/>
  </bookViews>
  <sheets>
    <sheet name="phili, SYBR Green, 08-13-2025, " sheetId="1" r:id="rId1"/>
    <sheet name="ToPl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 l="1"/>
  <c r="AG5" i="1"/>
  <c r="AG6" i="1"/>
  <c r="AG7" i="1"/>
  <c r="AG8" i="1"/>
  <c r="AG10" i="1"/>
  <c r="AG11" i="1"/>
  <c r="AG12" i="1"/>
  <c r="AG13" i="1"/>
  <c r="AG14" i="1"/>
  <c r="AG15" i="1"/>
  <c r="AG3" i="1"/>
  <c r="Q64" i="1"/>
  <c r="R64" i="1" s="1"/>
  <c r="Q63" i="1"/>
  <c r="R63" i="1" s="1"/>
  <c r="Q62" i="1"/>
  <c r="R62" i="1" s="1"/>
  <c r="Q54" i="1"/>
  <c r="R54" i="1" s="1"/>
  <c r="Q39" i="1"/>
  <c r="R39" i="1" s="1"/>
  <c r="Q27" i="1"/>
  <c r="R27" i="1" s="1"/>
  <c r="J79" i="1"/>
  <c r="Q79" i="1" s="1"/>
  <c r="R79" i="1" s="1"/>
  <c r="J91" i="1"/>
  <c r="Q91" i="1" s="1"/>
  <c r="R91" i="1" s="1"/>
  <c r="J90" i="1"/>
  <c r="Q90" i="1" s="1"/>
  <c r="R90" i="1" s="1"/>
  <c r="J89" i="1"/>
  <c r="Q89" i="1" s="1"/>
  <c r="R89" i="1" s="1"/>
  <c r="J88" i="1"/>
  <c r="Q88" i="1" s="1"/>
  <c r="R88" i="1" s="1"/>
  <c r="J87" i="1"/>
  <c r="Q87" i="1" s="1"/>
  <c r="R87" i="1" s="1"/>
  <c r="J86" i="1"/>
  <c r="Q86" i="1" s="1"/>
  <c r="R86" i="1" s="1"/>
  <c r="J78" i="1"/>
  <c r="Q78" i="1" s="1"/>
  <c r="R78" i="1" s="1"/>
  <c r="J77" i="1"/>
  <c r="Q77" i="1" s="1"/>
  <c r="R77" i="1" s="1"/>
  <c r="J76" i="1"/>
  <c r="Q76" i="1" s="1"/>
  <c r="R76" i="1" s="1"/>
  <c r="J75" i="1"/>
  <c r="Q75" i="1" s="1"/>
  <c r="R75" i="1" s="1"/>
  <c r="J74" i="1"/>
  <c r="Q74" i="1" s="1"/>
  <c r="R74" i="1" s="1"/>
  <c r="J67" i="1"/>
  <c r="Q67" i="1" s="1"/>
  <c r="R67" i="1" s="1"/>
  <c r="J66" i="1"/>
  <c r="Q66" i="1" s="1"/>
  <c r="R66" i="1" s="1"/>
  <c r="J65" i="1"/>
  <c r="Q65" i="1" s="1"/>
  <c r="R65" i="1" s="1"/>
  <c r="J64" i="1"/>
  <c r="J63" i="1"/>
  <c r="J62" i="1"/>
  <c r="J54" i="1"/>
  <c r="J53" i="1"/>
  <c r="Q53" i="1" s="1"/>
  <c r="R53" i="1" s="1"/>
  <c r="J52" i="1"/>
  <c r="Q52" i="1" s="1"/>
  <c r="R52" i="1" s="1"/>
  <c r="J51" i="1"/>
  <c r="Q51" i="1" s="1"/>
  <c r="R51" i="1" s="1"/>
  <c r="J50" i="1"/>
  <c r="Q50" i="1" s="1"/>
  <c r="R50" i="1" s="1"/>
  <c r="J43" i="1"/>
  <c r="Q43" i="1" s="1"/>
  <c r="R43" i="1" s="1"/>
  <c r="J42" i="1"/>
  <c r="Q42" i="1" s="1"/>
  <c r="R42" i="1" s="1"/>
  <c r="J41" i="1"/>
  <c r="Q41" i="1" s="1"/>
  <c r="R41" i="1" s="1"/>
  <c r="J40" i="1"/>
  <c r="Q40" i="1" s="1"/>
  <c r="R40" i="1" s="1"/>
  <c r="J39" i="1"/>
  <c r="J38" i="1"/>
  <c r="Q38" i="1" s="1"/>
  <c r="R38" i="1" s="1"/>
  <c r="J27" i="1"/>
  <c r="J28" i="1"/>
  <c r="Q28" i="1" s="1"/>
  <c r="R28" i="1" s="1"/>
  <c r="J29" i="1"/>
  <c r="Q29" i="1" s="1"/>
  <c r="R29" i="1" s="1"/>
  <c r="J30" i="1"/>
  <c r="Q30" i="1" s="1"/>
  <c r="R30" i="1" s="1"/>
  <c r="J31" i="1"/>
  <c r="Q31" i="1" s="1"/>
  <c r="R31" i="1" s="1"/>
  <c r="J26" i="1"/>
  <c r="Q26" i="1" s="1"/>
  <c r="R26" i="1" s="1"/>
  <c r="M25" i="1"/>
  <c r="P24" i="1"/>
  <c r="M24" i="1"/>
  <c r="P23" i="1"/>
  <c r="M23" i="1"/>
  <c r="J23" i="1"/>
  <c r="P22" i="1"/>
  <c r="M22" i="1"/>
  <c r="J22" i="1"/>
  <c r="P21" i="1"/>
  <c r="M21" i="1"/>
  <c r="J21" i="1"/>
  <c r="P20" i="1"/>
  <c r="M20" i="1"/>
  <c r="J20" i="1"/>
  <c r="P19" i="1"/>
  <c r="M19" i="1"/>
  <c r="J19" i="1"/>
  <c r="P18" i="1"/>
  <c r="M18" i="1"/>
  <c r="J18" i="1"/>
  <c r="P17" i="1"/>
  <c r="M17" i="1"/>
  <c r="J17" i="1"/>
  <c r="P16" i="1"/>
  <c r="M16" i="1"/>
  <c r="J16" i="1"/>
  <c r="P15" i="1"/>
  <c r="M15" i="1"/>
  <c r="J15" i="1"/>
  <c r="P14" i="1"/>
  <c r="M14" i="1"/>
  <c r="J14" i="1"/>
  <c r="M13" i="1"/>
  <c r="P12" i="1"/>
  <c r="M12" i="1"/>
  <c r="P11" i="1"/>
  <c r="M11" i="1"/>
  <c r="J11" i="1"/>
  <c r="P10" i="1"/>
  <c r="M10" i="1"/>
  <c r="J10" i="1"/>
  <c r="P9" i="1"/>
  <c r="M9" i="1"/>
  <c r="J9" i="1"/>
  <c r="P8" i="1"/>
  <c r="M8" i="1"/>
  <c r="J8" i="1"/>
  <c r="P7" i="1"/>
  <c r="M7" i="1"/>
  <c r="J7" i="1"/>
  <c r="P6" i="1"/>
  <c r="M6" i="1"/>
  <c r="J6" i="1"/>
  <c r="P5" i="1"/>
  <c r="M5" i="1"/>
  <c r="J5" i="1"/>
  <c r="P4" i="1"/>
  <c r="M4" i="1"/>
  <c r="J4" i="1"/>
  <c r="P3" i="1"/>
  <c r="M3" i="1"/>
  <c r="J3" i="1"/>
  <c r="P2" i="1"/>
  <c r="M2" i="1"/>
  <c r="J2" i="1"/>
  <c r="AI10" i="1" l="1"/>
  <c r="AH3" i="1"/>
  <c r="AI3" i="1"/>
  <c r="AH10" i="1"/>
</calcChain>
</file>

<file path=xl/sharedStrings.xml><?xml version="1.0" encoding="utf-8"?>
<sst xmlns="http://schemas.openxmlformats.org/spreadsheetml/2006/main" count="588" uniqueCount="185">
  <si>
    <t>Well</t>
  </si>
  <si>
    <t>Well Type</t>
  </si>
  <si>
    <t>Threshold (dR)</t>
  </si>
  <si>
    <t>Ct (dR)</t>
  </si>
  <si>
    <t>A1</t>
  </si>
  <si>
    <t>Unknown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</si>
  <si>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</si>
  <si>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</si>
  <si>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</si>
  <si>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</si>
  <si>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</si>
  <si>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</si>
  <si>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</si>
  <si>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</si>
  <si>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</si>
  <si>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</si>
  <si>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</si>
  <si>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No Ct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</si>
  <si>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</si>
  <si>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</si>
  <si>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</si>
  <si>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</si>
  <si>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</si>
  <si>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</si>
  <si>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</si>
  <si>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</si>
  <si>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</si>
  <si>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</si>
  <si>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</si>
  <si>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</si>
  <si>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</si>
  <si>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</si>
  <si>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</si>
  <si>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</si>
  <si>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</si>
  <si>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</si>
  <si>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</si>
  <si>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</si>
  <si>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</si>
  <si>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</si>
  <si>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</si>
  <si>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</si>
  <si>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</si>
  <si>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</si>
  <si>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</si>
  <si>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</si>
  <si>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</si>
  <si>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</si>
  <si>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</si>
  <si>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</si>
  <si>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</si>
  <si>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</si>
  <si>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</si>
  <si>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</si>
  <si>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</si>
  <si>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</si>
  <si>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</si>
  <si>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</si>
  <si>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</si>
  <si>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</si>
  <si>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</si>
  <si>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</si>
  <si>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</si>
  <si>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</si>
  <si>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</si>
  <si>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</si>
  <si>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</si>
  <si>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</si>
  <si>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</si>
  <si>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</si>
  <si>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</si>
  <si>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</si>
  <si>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</si>
  <si>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</si>
  <si>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</si>
  <si>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</si>
  <si>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</si>
  <si>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</si>
  <si>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</si>
  <si>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</si>
  <si>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</si>
  <si>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</si>
  <si>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</si>
  <si>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</si>
  <si>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</si>
  <si>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</si>
  <si>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</si>
  <si>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</si>
  <si>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</si>
  <si>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</si>
  <si>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</si>
  <si>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</si>
  <si>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</si>
  <si>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</si>
  <si>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</si>
  <si>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</si>
  <si>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</si>
  <si>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</si>
  <si>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</si>
  <si>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</si>
  <si>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</si>
  <si>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</si>
  <si>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Tube number</t>
  </si>
  <si>
    <t>Sample</t>
  </si>
  <si>
    <t>cfu/extr</t>
  </si>
  <si>
    <t>log cfu/extr</t>
  </si>
  <si>
    <t>Primer conc (uM)</t>
  </si>
  <si>
    <t>primer vol (ul) in rxn</t>
  </si>
  <si>
    <t>final uM ea primer in reaction</t>
  </si>
  <si>
    <t>template conc (ng/ul)</t>
  </si>
  <si>
    <t>template vol (ul)</t>
  </si>
  <si>
    <t>total amt template (ng)</t>
  </si>
  <si>
    <t>1E+6 cfu+soil</t>
  </si>
  <si>
    <t>1E+5 cfu+soil</t>
  </si>
  <si>
    <t>1E+4 cfu+soil</t>
  </si>
  <si>
    <t>1E+3 cfu+soil</t>
  </si>
  <si>
    <t>1E+2 cfu+soil</t>
  </si>
  <si>
    <t>soil only</t>
  </si>
  <si>
    <t>NTC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</si>
  <si>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</si>
  <si>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</si>
  <si>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</si>
  <si>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</si>
  <si>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</si>
  <si>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</si>
  <si>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</si>
  <si>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</si>
  <si>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</si>
  <si>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</si>
  <si>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</si>
  <si>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</si>
  <si>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UC 13</t>
  </si>
  <si>
    <t>UC 14</t>
  </si>
  <si>
    <t>UC 15</t>
  </si>
  <si>
    <t>UC 16</t>
  </si>
  <si>
    <t>UC 17</t>
  </si>
  <si>
    <t>UC 18</t>
  </si>
  <si>
    <t>UC 19</t>
  </si>
  <si>
    <t>UC 20</t>
  </si>
  <si>
    <t>UC 21</t>
  </si>
  <si>
    <t>UC 22</t>
  </si>
  <si>
    <t>UC 23</t>
  </si>
  <si>
    <t>UC 24</t>
  </si>
  <si>
    <t>cfu/g</t>
  </si>
  <si>
    <t>Treat ave</t>
  </si>
  <si>
    <t>Tech rep ave</t>
  </si>
  <si>
    <t>Std Dev</t>
  </si>
  <si>
    <t>UTC</t>
  </si>
  <si>
    <t>MP1</t>
  </si>
  <si>
    <t>CFU/g</t>
  </si>
  <si>
    <t>BD</t>
  </si>
  <si>
    <t>Treatment code</t>
  </si>
  <si>
    <t>A-R1-10</t>
  </si>
  <si>
    <t>A-R2-10</t>
  </si>
  <si>
    <t>A-R3-10</t>
  </si>
  <si>
    <t>A-R4-10</t>
  </si>
  <si>
    <t>A-R5-10</t>
  </si>
  <si>
    <t>A-R6-10</t>
  </si>
  <si>
    <t>B-R1-10</t>
  </si>
  <si>
    <t>B-R2-10</t>
  </si>
  <si>
    <t>B-R3-10</t>
  </si>
  <si>
    <t>B-R4-10</t>
  </si>
  <si>
    <t>B-R5-10</t>
  </si>
  <si>
    <t>B-R6-10</t>
  </si>
  <si>
    <t>C-R1-10</t>
  </si>
  <si>
    <t>C-R2-10</t>
  </si>
  <si>
    <t>C-R3-10</t>
  </si>
  <si>
    <t>C-R4-10</t>
  </si>
  <si>
    <t>C-R5-10</t>
  </si>
  <si>
    <t>C-R6-10</t>
  </si>
  <si>
    <t>D-R1-10</t>
  </si>
  <si>
    <t>D-R2-10</t>
  </si>
  <si>
    <t>D-R3-10</t>
  </si>
  <si>
    <t>D-R4-10</t>
  </si>
  <si>
    <t>D-R5-10</t>
  </si>
  <si>
    <t>D-R6-10</t>
  </si>
  <si>
    <t>Tech rep1</t>
  </si>
  <si>
    <t>Tech rep2</t>
  </si>
  <si>
    <t>Tech rep3</t>
  </si>
  <si>
    <t>Treatment</t>
  </si>
  <si>
    <t>MP1+B</t>
  </si>
  <si>
    <t>UTC+B</t>
  </si>
  <si>
    <t>SampleID</t>
  </si>
  <si>
    <t>CFU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</si>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</sst>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13101487314086"/>
                  <c:y val="6.609069699620880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('phili, SYBR Green, 08-13-2025, '!$J$2:$J$11,'phili, SYBR Green, 08-13-2025, '!$J$14:$J$23)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</c:numCache>
            </c:numRef>
          </c:xVal>
          <c:yVal>
            <c:numRef>
              <c:f>('phili, SYBR Green, 08-13-2025, '!$D$2:$D$11,'phili, SYBR Green, 08-13-2025, '!$D$14:$D$23)</c:f>
              <c:numCache>
                <c:formatCode>General</c:formatCode>
                <c:ptCount val="20"/>
                <c:pt idx="0">
                  <c:v>21.38</c:v>
                </c:pt>
                <c:pt idx="1">
                  <c:v>21.41</c:v>
                </c:pt>
                <c:pt idx="2">
                  <c:v>23.41</c:v>
                </c:pt>
                <c:pt idx="3">
                  <c:v>23.76</c:v>
                </c:pt>
                <c:pt idx="4">
                  <c:v>26.52</c:v>
                </c:pt>
                <c:pt idx="5">
                  <c:v>26.69</c:v>
                </c:pt>
                <c:pt idx="6">
                  <c:v>30.04</c:v>
                </c:pt>
                <c:pt idx="7">
                  <c:v>30.3</c:v>
                </c:pt>
                <c:pt idx="8">
                  <c:v>35.159999999999997</c:v>
                </c:pt>
                <c:pt idx="9">
                  <c:v>32.31</c:v>
                </c:pt>
                <c:pt idx="10">
                  <c:v>21.14</c:v>
                </c:pt>
                <c:pt idx="11">
                  <c:v>21.84</c:v>
                </c:pt>
                <c:pt idx="12">
                  <c:v>23.56</c:v>
                </c:pt>
                <c:pt idx="13">
                  <c:v>23.8</c:v>
                </c:pt>
                <c:pt idx="14">
                  <c:v>26.79</c:v>
                </c:pt>
                <c:pt idx="15">
                  <c:v>26.9</c:v>
                </c:pt>
                <c:pt idx="16">
                  <c:v>30.05</c:v>
                </c:pt>
                <c:pt idx="17">
                  <c:v>30.19</c:v>
                </c:pt>
                <c:pt idx="18">
                  <c:v>32.92</c:v>
                </c:pt>
                <c:pt idx="19">
                  <c:v>33.11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6-BF4C-8A4A-CD288C653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975615"/>
        <c:axId val="37420144"/>
      </c:scatterChart>
      <c:valAx>
        <c:axId val="1481975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cfu/extr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0144"/>
        <c:crosses val="autoZero"/>
        <c:crossBetween val="midCat"/>
      </c:valAx>
      <c:valAx>
        <c:axId val="374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97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'phili, SYBR Green, 08-13-2025, '!$AD$18:$AD$21</c:f>
              <c:numCache>
                <c:formatCode>General</c:formatCode>
                <c:ptCount val="4"/>
                <c:pt idx="0">
                  <c:v>0</c:v>
                </c:pt>
                <c:pt idx="1">
                  <c:v>4819.7107276641445</c:v>
                </c:pt>
                <c:pt idx="2">
                  <c:v>0</c:v>
                </c:pt>
                <c:pt idx="3">
                  <c:v>3062.2013956136202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D-474C-A303-A922BE54F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154464367"/>
        <c:axId val="1154469471"/>
      </c:barChart>
      <c:catAx>
        <c:axId val="115446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69471"/>
        <c:crosses val="autoZero"/>
        <c:auto val="1"/>
        <c:lblAlgn val="ctr"/>
        <c:lblOffset val="100"/>
        <c:noMultiLvlLbl val="0"/>
      </c:catAx>
      <c:valAx>
        <c:axId val="11544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cfu/g</a:t>
                </a:r>
                <a:r>
                  <a:rPr lang="en-US" baseline="0"/>
                  <a:t> soil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6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('phili, SYBR Green, 08-13-2025, '!$AG$2,'phili, SYBR Green, 08-13-2025, '!$AG$3,'phili, SYBR Green, 08-13-2025, '!$AG$9,'phili, SYBR Green, 08-13-2025, '!$AG$10)</c:f>
              <c:numCache>
                <c:formatCode>General</c:formatCode>
                <c:ptCount val="4"/>
                <c:pt idx="1">
                  <c:v>1094.1902230463891</c:v>
                </c:pt>
                <c:pt idx="3">
                  <c:v>1243.8876912803782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49-474D-A2EF-BD5098C797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('phili, SYBR Green, 08-13-2025, '!$AG$2,'phili, SYBR Green, 08-13-2025, '!$AG$4,'phili, SYBR Green, 08-13-2025, '!$AG$9,'phili, SYBR Green, 08-13-2025, '!$AG$11)</c:f>
              <c:numCache>
                <c:formatCode>General</c:formatCode>
                <c:ptCount val="4"/>
                <c:pt idx="1">
                  <c:v>22671.752393071791</c:v>
                </c:pt>
                <c:pt idx="3">
                  <c:v>1880.4977919872083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49-474D-A2EF-BD5098C797D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('phili, SYBR Green, 08-13-2025, '!$AG$2,'phili, SYBR Green, 08-13-2025, '!$AG$5,'phili, SYBR Green, 08-13-2025, '!$AG$9,'phili, SYBR Green, 08-13-2025, '!$AG$12)</c:f>
              <c:numCache>
                <c:formatCode>General</c:formatCode>
                <c:ptCount val="4"/>
                <c:pt idx="1">
                  <c:v>848.33535316539974</c:v>
                </c:pt>
                <c:pt idx="3">
                  <c:v>2476.1886678896844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49-474D-A2EF-BD5098C797D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('phili, SYBR Green, 08-13-2025, '!$AG$2,'phili, SYBR Green, 08-13-2025, '!$AG$6,'phili, SYBR Green, 08-13-2025, '!$AG$9,'phili, SYBR Green, 08-13-2025, '!$AG$13)</c:f>
              <c:numCache>
                <c:formatCode>General</c:formatCode>
                <c:ptCount val="4"/>
                <c:pt idx="1">
                  <c:v>2634.3171766710657</c:v>
                </c:pt>
                <c:pt idx="3">
                  <c:v>2383.2623304468693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49-474D-A2EF-BD5098C797D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('phili, SYBR Green, 08-13-2025, '!$AG$2,'phili, SYBR Green, 08-13-2025, '!$AG$7,'phili, SYBR Green, 08-13-2025, '!$AG$9,'phili, SYBR Green, 08-13-2025, '!$AG$14)</c:f>
              <c:numCache>
                <c:formatCode>General</c:formatCode>
                <c:ptCount val="4"/>
                <c:pt idx="1">
                  <c:v>1364.7599663854678</c:v>
                </c:pt>
                <c:pt idx="3">
                  <c:v>3708.7830668669408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49-474D-A2EF-BD5098C797D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'phili, SYBR Green, 08-13-2025, '!$AC$18:$AC$21</c:f>
              <c:strCache>
                <c:ptCount val="4"/>
                <c:pt idx="0">
                  <c:v>UTC</c:v>
                </c:pt>
                <c:pt idx="1">
                  <c:v>MP1</c:v>
                </c:pt>
                <c:pt idx="2">
                  <c:v>UTC+B</c:v>
                </c:pt>
                <c:pt idx="3">
                  <c:v>MP1+B</c:v>
                </c:pt>
              </c:strCache>
            </c:strRef>
          </c:cat>
          <c:val>
            <c:numRef>
              <c:f>('phili, SYBR Green, 08-13-2025, '!$AG$2,'phili, SYBR Green, 08-13-2025, '!$AG$8,'phili, SYBR Green, 08-13-2025, '!$AG$9,'phili, SYBR Green, 08-13-2025, '!$AG$15)</c:f>
              <c:numCache>
                <c:formatCode>General</c:formatCode>
                <c:ptCount val="4"/>
                <c:pt idx="1">
                  <c:v>304.90925364475351</c:v>
                </c:pt>
                <c:pt idx="3">
                  <c:v>6680.5888252106415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49-474D-A2EF-BD5098C79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126562927"/>
        <c:axId val="1127194879"/>
      </c:barChart>
      <c:catAx>
        <c:axId val="112656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94879"/>
        <c:crosses val="autoZero"/>
        <c:auto val="1"/>
        <c:lblAlgn val="ctr"/>
        <c:lblOffset val="100"/>
        <c:noMultiLvlLbl val="0"/>
      </c:catAx>
      <c:valAx>
        <c:axId val="11271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cfu/g</a:t>
                </a:r>
                <a:r>
                  <a:rPr lang="en-US" baseline="0"/>
                  <a:t> soil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6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139700</xdr:colOff>
      <xdr:row>4</xdr:row>
      <xdr:rowOff>127000</xdr:rowOff>
    </xdr:from>
    <xdr:to>
      <xdr:col>25</xdr:col>
      <xdr:colOff>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D63AF-D05E-C36B-4EC3-6D7D8D4BE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463550</xdr:colOff>
      <xdr:row>24</xdr:row>
      <xdr:rowOff>38100</xdr:rowOff>
    </xdr:from>
    <xdr:to>
      <xdr:col>34</xdr:col>
      <xdr:colOff>323850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18D24-74EF-2621-3965-27A203F82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552450</xdr:colOff>
      <xdr:row>23</xdr:row>
      <xdr:rowOff>165100</xdr:rowOff>
    </xdr:from>
    <xdr:to>
      <xdr:col>41</xdr:col>
      <xdr:colOff>412750</xdr:colOff>
      <xdr:row>38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223DA3-A2F1-5C1D-DC3E-D92304B65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0.20417</cdr:x>
      <cdr:y>0.71296</cdr:y>
    </cdr:from>
    <cdr:to>
      <cdr:x>0.30139</cdr:x>
      <cdr:y>0.81019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B691DFE-8503-7FB3-D102-C7E01F645780}"/>
            </a:ext>
          </a:extLst>
        </cdr:cNvPr>
        <cdr:cNvSpPr txBox="1"/>
      </cdr:nvSpPr>
      <cdr:spPr>
        <a:xfrm xmlns:a="http://schemas.openxmlformats.org/drawingml/2006/main">
          <a:off x="933450" y="1955800"/>
          <a:ext cx="4445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B.D.</a:t>
          </a:r>
        </a:p>
      </cdr:txBody>
    </cdr:sp>
  </cdr:relSizeAnchor>
  <cdr:relSizeAnchor xmlns:cdr="http://schemas.openxmlformats.org/drawingml/2006/chartDrawing">
    <cdr:from>
      <cdr:x>0.61389</cdr:x>
      <cdr:y>0.70833</cdr:y>
    </cdr:from>
    <cdr:to>
      <cdr:x>0.71111</cdr:x>
      <cdr:y>0.80556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FA82CCD-557D-2F1F-BA52-8A527184C0A5}"/>
            </a:ext>
          </a:extLst>
        </cdr:cNvPr>
        <cdr:cNvSpPr txBox="1"/>
      </cdr:nvSpPr>
      <cdr:spPr>
        <a:xfrm xmlns:a="http://schemas.openxmlformats.org/drawingml/2006/main">
          <a:off x="2806700" y="1943100"/>
          <a:ext cx="4445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B.D.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4D22-68F4-4C74-BDEE-7173A4BDE94F}">
  <dimension ref="A1:AI97"/>
  <sheetViews>
    <sheetView workbookViewId="0">
      <selection activeCell="AG10" activeCellId="3" sqref="AA3:AB8 AA10:AB15 AG3:AG8 AG10:AG15"/>
    </sheetView>
  </sheetViews>
  <sheetFormatPr baseColWidth="10" defaultColWidth="8.83203125" defaultRowHeight="15" x14ac:dyDescent="0.2"/>
  <cols>
    <col min="1" max="1" width="4.83203125" bestFit="1" customWidth="1"/>
    <col min="2" max="2" width="9.33203125" bestFit="1" customWidth="1"/>
    <col min="3" max="3" width="14.1640625" bestFit="1" customWidth="1"/>
    <col min="4" max="4" width="6.83203125" bestFit="1" customWidth="1"/>
    <col min="5" max="6" width="10.1640625" customWidth="1"/>
  </cols>
  <sheetData>
    <row r="1" spans="1:35" s="2" customFormat="1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151</v>
      </c>
      <c r="F1" s="2" t="s">
        <v>179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104</v>
      </c>
      <c r="R1" s="1" t="s">
        <v>143</v>
      </c>
      <c r="AA1" s="2" t="s">
        <v>179</v>
      </c>
      <c r="AB1" s="2" t="s">
        <v>151</v>
      </c>
      <c r="AC1" s="2" t="s">
        <v>102</v>
      </c>
      <c r="AD1" s="2" t="s">
        <v>176</v>
      </c>
      <c r="AE1" s="2" t="s">
        <v>177</v>
      </c>
      <c r="AF1" s="2" t="s">
        <v>178</v>
      </c>
      <c r="AG1" s="2" t="s">
        <v>145</v>
      </c>
      <c r="AH1" s="2" t="s">
        <v>144</v>
      </c>
      <c r="AI1" s="2" t="s">
        <v>146</v>
      </c>
    </row>
    <row r="2" spans="1:35" x14ac:dyDescent="0.2">
      <c r="A2" t="s">
        <v>4</v>
      </c>
      <c r="B2" t="s">
        <v>5</v>
      </c>
      <c r="C2">
        <v>394.94099999999997</v>
      </c>
      <c r="D2">
        <v>21.38</v>
      </c>
      <c r="G2">
        <v>5</v>
      </c>
      <c r="H2" t="s">
        <v>112</v>
      </c>
      <c r="I2">
        <v>1000000</v>
      </c>
      <c r="J2">
        <f>LOG10(I2)</f>
        <v>6</v>
      </c>
      <c r="K2">
        <v>10</v>
      </c>
      <c r="L2">
        <v>1</v>
      </c>
      <c r="M2">
        <f>K2*L2/20</f>
        <v>0.5</v>
      </c>
      <c r="N2">
        <v>5</v>
      </c>
      <c r="O2">
        <v>1</v>
      </c>
      <c r="P2">
        <f>N2*O2</f>
        <v>5</v>
      </c>
    </row>
    <row r="3" spans="1:35" x14ac:dyDescent="0.2">
      <c r="A3" t="s">
        <v>6</v>
      </c>
      <c r="B3" t="s">
        <v>5</v>
      </c>
      <c r="C3">
        <v>394.94099999999997</v>
      </c>
      <c r="D3">
        <v>21.41</v>
      </c>
      <c r="G3">
        <v>6</v>
      </c>
      <c r="H3" t="s">
        <v>112</v>
      </c>
      <c r="I3">
        <v>1000000</v>
      </c>
      <c r="J3">
        <f t="shared" ref="J3:J11" si="0">LOG10(I3)</f>
        <v>6</v>
      </c>
      <c r="K3">
        <v>10</v>
      </c>
      <c r="L3">
        <v>1</v>
      </c>
      <c r="M3">
        <f t="shared" ref="M3:M13" si="1">K3*L3/20</f>
        <v>0.5</v>
      </c>
      <c r="N3">
        <v>5</v>
      </c>
      <c r="O3">
        <v>1</v>
      </c>
      <c r="P3">
        <f t="shared" ref="P3:P12" si="2">N3*O3</f>
        <v>5</v>
      </c>
      <c r="AA3" t="s">
        <v>148</v>
      </c>
      <c r="AB3" t="s">
        <v>152</v>
      </c>
      <c r="AC3" t="s">
        <v>119</v>
      </c>
      <c r="AD3">
        <v>1726.5957915240779</v>
      </c>
      <c r="AE3">
        <v>649.44332978700697</v>
      </c>
      <c r="AF3">
        <v>906.53154782808247</v>
      </c>
      <c r="AG3">
        <f>AVERAGE(AD3:AF3)</f>
        <v>1094.1902230463891</v>
      </c>
      <c r="AH3">
        <f>AVERAGE(AG3:AG8)</f>
        <v>4819.7107276641445</v>
      </c>
      <c r="AI3">
        <f>STDEV(AG3:AG8)</f>
        <v>8780.0088736212892</v>
      </c>
    </row>
    <row r="4" spans="1:35" x14ac:dyDescent="0.2">
      <c r="A4" t="s">
        <v>7</v>
      </c>
      <c r="B4" t="s">
        <v>5</v>
      </c>
      <c r="C4">
        <v>394.94099999999997</v>
      </c>
      <c r="D4">
        <v>23.41</v>
      </c>
      <c r="G4">
        <v>7</v>
      </c>
      <c r="H4" t="s">
        <v>113</v>
      </c>
      <c r="I4">
        <v>100000</v>
      </c>
      <c r="J4">
        <f t="shared" si="0"/>
        <v>5</v>
      </c>
      <c r="K4">
        <v>10</v>
      </c>
      <c r="L4">
        <v>1</v>
      </c>
      <c r="M4">
        <f t="shared" si="1"/>
        <v>0.5</v>
      </c>
      <c r="N4">
        <v>5</v>
      </c>
      <c r="O4">
        <v>1</v>
      </c>
      <c r="P4">
        <f t="shared" si="2"/>
        <v>5</v>
      </c>
      <c r="AA4" t="s">
        <v>148</v>
      </c>
      <c r="AB4" t="s">
        <v>153</v>
      </c>
      <c r="AC4" t="s">
        <v>120</v>
      </c>
      <c r="AD4">
        <v>18375.947182382908</v>
      </c>
      <c r="AE4">
        <v>21546.597991126218</v>
      </c>
      <c r="AF4">
        <v>28092.712005706249</v>
      </c>
      <c r="AG4">
        <f t="shared" ref="AG4:AG8" si="3">AVERAGE(AD4:AF4)</f>
        <v>22671.752393071791</v>
      </c>
    </row>
    <row r="5" spans="1:35" x14ac:dyDescent="0.2">
      <c r="A5" t="s">
        <v>8</v>
      </c>
      <c r="B5" t="s">
        <v>5</v>
      </c>
      <c r="C5">
        <v>394.94099999999997</v>
      </c>
      <c r="D5">
        <v>23.76</v>
      </c>
      <c r="G5">
        <v>8</v>
      </c>
      <c r="H5" t="s">
        <v>113</v>
      </c>
      <c r="I5">
        <v>100000</v>
      </c>
      <c r="J5">
        <f t="shared" si="0"/>
        <v>5</v>
      </c>
      <c r="K5">
        <v>10</v>
      </c>
      <c r="L5">
        <v>1</v>
      </c>
      <c r="M5">
        <f t="shared" si="1"/>
        <v>0.5</v>
      </c>
      <c r="N5">
        <v>5</v>
      </c>
      <c r="O5">
        <v>1</v>
      </c>
      <c r="P5">
        <f t="shared" si="2"/>
        <v>5</v>
      </c>
      <c r="AA5" t="s">
        <v>148</v>
      </c>
      <c r="AB5" t="s">
        <v>154</v>
      </c>
      <c r="AC5" t="s">
        <v>121</v>
      </c>
      <c r="AD5">
        <v>611.23246469600178</v>
      </c>
      <c r="AE5">
        <v>1461.4025040164227</v>
      </c>
      <c r="AF5">
        <v>472.371090783775</v>
      </c>
      <c r="AG5">
        <f t="shared" si="3"/>
        <v>848.33535316539974</v>
      </c>
    </row>
    <row r="6" spans="1:35" x14ac:dyDescent="0.2">
      <c r="A6" t="s">
        <v>9</v>
      </c>
      <c r="B6" t="s">
        <v>5</v>
      </c>
      <c r="C6">
        <v>394.94099999999997</v>
      </c>
      <c r="D6">
        <v>26.52</v>
      </c>
      <c r="G6">
        <v>9</v>
      </c>
      <c r="H6" t="s">
        <v>114</v>
      </c>
      <c r="I6">
        <v>10000</v>
      </c>
      <c r="J6">
        <f t="shared" si="0"/>
        <v>4</v>
      </c>
      <c r="K6">
        <v>10</v>
      </c>
      <c r="L6">
        <v>1</v>
      </c>
      <c r="M6">
        <f t="shared" si="1"/>
        <v>0.5</v>
      </c>
      <c r="N6">
        <v>5</v>
      </c>
      <c r="O6">
        <v>1</v>
      </c>
      <c r="P6">
        <f t="shared" si="2"/>
        <v>5</v>
      </c>
      <c r="AA6" t="s">
        <v>148</v>
      </c>
      <c r="AB6" t="s">
        <v>155</v>
      </c>
      <c r="AC6" t="s">
        <v>122</v>
      </c>
      <c r="AD6">
        <v>1375.418937224005</v>
      </c>
      <c r="AE6">
        <v>3239.0281447630673</v>
      </c>
      <c r="AF6">
        <v>3288.5044480261249</v>
      </c>
      <c r="AG6">
        <f t="shared" si="3"/>
        <v>2634.3171766710657</v>
      </c>
    </row>
    <row r="7" spans="1:35" x14ac:dyDescent="0.2">
      <c r="A7" t="s">
        <v>10</v>
      </c>
      <c r="B7" t="s">
        <v>5</v>
      </c>
      <c r="C7">
        <v>394.94099999999997</v>
      </c>
      <c r="D7">
        <v>26.69</v>
      </c>
      <c r="G7">
        <v>10</v>
      </c>
      <c r="H7" t="s">
        <v>114</v>
      </c>
      <c r="I7">
        <v>10000</v>
      </c>
      <c r="J7">
        <f t="shared" si="0"/>
        <v>4</v>
      </c>
      <c r="K7">
        <v>10</v>
      </c>
      <c r="L7">
        <v>1</v>
      </c>
      <c r="M7">
        <f t="shared" si="1"/>
        <v>0.5</v>
      </c>
      <c r="N7">
        <v>5</v>
      </c>
      <c r="O7">
        <v>1</v>
      </c>
      <c r="P7">
        <f t="shared" si="2"/>
        <v>5</v>
      </c>
      <c r="AA7" t="s">
        <v>148</v>
      </c>
      <c r="AB7" t="s">
        <v>156</v>
      </c>
      <c r="AC7" t="s">
        <v>123</v>
      </c>
      <c r="AD7">
        <v>1806.9320190133269</v>
      </c>
      <c r="AE7">
        <v>992.85355180082911</v>
      </c>
      <c r="AF7">
        <v>1294.4943283422469</v>
      </c>
      <c r="AG7">
        <f t="shared" si="3"/>
        <v>1364.7599663854678</v>
      </c>
    </row>
    <row r="8" spans="1:35" x14ac:dyDescent="0.2">
      <c r="A8" t="s">
        <v>11</v>
      </c>
      <c r="B8" t="s">
        <v>5</v>
      </c>
      <c r="C8">
        <v>394.94099999999997</v>
      </c>
      <c r="D8">
        <v>30.04</v>
      </c>
      <c r="G8">
        <v>11</v>
      </c>
      <c r="H8" t="s">
        <v>115</v>
      </c>
      <c r="I8">
        <v>1000</v>
      </c>
      <c r="J8">
        <f t="shared" si="0"/>
        <v>3</v>
      </c>
      <c r="K8">
        <v>10</v>
      </c>
      <c r="L8">
        <v>1</v>
      </c>
      <c r="M8">
        <f t="shared" si="1"/>
        <v>0.5</v>
      </c>
      <c r="N8">
        <v>5</v>
      </c>
      <c r="O8">
        <v>1</v>
      </c>
      <c r="P8">
        <f t="shared" si="2"/>
        <v>5</v>
      </c>
      <c r="AA8" t="s">
        <v>148</v>
      </c>
      <c r="AB8" t="s">
        <v>157</v>
      </c>
      <c r="AC8" t="s">
        <v>124</v>
      </c>
      <c r="AD8">
        <v>597.49028093666584</v>
      </c>
      <c r="AF8">
        <v>12.32822635284116</v>
      </c>
      <c r="AG8">
        <f t="shared" si="3"/>
        <v>304.90925364475351</v>
      </c>
    </row>
    <row r="9" spans="1:35" x14ac:dyDescent="0.2">
      <c r="A9" t="s">
        <v>12</v>
      </c>
      <c r="B9" t="s">
        <v>5</v>
      </c>
      <c r="C9">
        <v>394.94099999999997</v>
      </c>
      <c r="D9">
        <v>30.3</v>
      </c>
      <c r="G9">
        <v>12</v>
      </c>
      <c r="H9" t="s">
        <v>115</v>
      </c>
      <c r="I9">
        <v>1000</v>
      </c>
      <c r="J9">
        <f t="shared" si="0"/>
        <v>3</v>
      </c>
      <c r="K9">
        <v>10</v>
      </c>
      <c r="L9">
        <v>1</v>
      </c>
      <c r="M9">
        <f t="shared" si="1"/>
        <v>0.5</v>
      </c>
      <c r="N9">
        <v>5</v>
      </c>
      <c r="O9">
        <v>1</v>
      </c>
      <c r="P9">
        <f t="shared" si="2"/>
        <v>5</v>
      </c>
    </row>
    <row r="10" spans="1:35" x14ac:dyDescent="0.2">
      <c r="A10" t="s">
        <v>13</v>
      </c>
      <c r="B10" t="s">
        <v>5</v>
      </c>
      <c r="C10">
        <v>394.94099999999997</v>
      </c>
      <c r="D10">
        <v>35.159999999999997</v>
      </c>
      <c r="G10">
        <v>13</v>
      </c>
      <c r="H10" t="s">
        <v>116</v>
      </c>
      <c r="I10">
        <v>100</v>
      </c>
      <c r="J10">
        <f t="shared" si="0"/>
        <v>2</v>
      </c>
      <c r="K10">
        <v>10</v>
      </c>
      <c r="L10">
        <v>1</v>
      </c>
      <c r="M10">
        <f t="shared" si="1"/>
        <v>0.5</v>
      </c>
      <c r="N10">
        <v>5</v>
      </c>
      <c r="O10">
        <v>1</v>
      </c>
      <c r="P10">
        <f t="shared" si="2"/>
        <v>5</v>
      </c>
      <c r="AA10" t="s">
        <v>180</v>
      </c>
      <c r="AB10" t="s">
        <v>164</v>
      </c>
      <c r="AC10" t="s">
        <v>131</v>
      </c>
      <c r="AD10">
        <v>767.29451123961542</v>
      </c>
      <c r="AE10">
        <v>2167.4363691148887</v>
      </c>
      <c r="AF10">
        <v>796.93219348663013</v>
      </c>
      <c r="AG10">
        <f t="shared" ref="AG10:AG15" si="4">AVERAGE(AD10:AF10)</f>
        <v>1243.8876912803782</v>
      </c>
      <c r="AH10">
        <f>AVERAGE(AG10:AG15)</f>
        <v>3062.2013956136202</v>
      </c>
      <c r="AI10">
        <f>STDEV(AG10:AG15)</f>
        <v>1950.2744808728928</v>
      </c>
    </row>
    <row r="11" spans="1:35" x14ac:dyDescent="0.2">
      <c r="A11" t="s">
        <v>14</v>
      </c>
      <c r="B11" t="s">
        <v>5</v>
      </c>
      <c r="C11">
        <v>394.94099999999997</v>
      </c>
      <c r="D11">
        <v>32.31</v>
      </c>
      <c r="G11">
        <v>14</v>
      </c>
      <c r="H11" t="s">
        <v>116</v>
      </c>
      <c r="I11">
        <v>100</v>
      </c>
      <c r="J11">
        <f t="shared" si="0"/>
        <v>2</v>
      </c>
      <c r="K11">
        <v>10</v>
      </c>
      <c r="L11">
        <v>1</v>
      </c>
      <c r="M11">
        <f t="shared" si="1"/>
        <v>0.5</v>
      </c>
      <c r="N11">
        <v>5</v>
      </c>
      <c r="O11">
        <v>1</v>
      </c>
      <c r="P11">
        <f t="shared" si="2"/>
        <v>5</v>
      </c>
      <c r="AA11" t="s">
        <v>180</v>
      </c>
      <c r="AB11" t="s">
        <v>165</v>
      </c>
      <c r="AC11" t="s">
        <v>132</v>
      </c>
      <c r="AD11">
        <v>2320.4545155086862</v>
      </c>
      <c r="AE11">
        <v>1218.3310268305027</v>
      </c>
      <c r="AF11">
        <v>2102.7078336224363</v>
      </c>
      <c r="AG11">
        <f t="shared" si="4"/>
        <v>1880.4977919872083</v>
      </c>
    </row>
    <row r="12" spans="1:35" x14ac:dyDescent="0.2">
      <c r="A12" t="s">
        <v>15</v>
      </c>
      <c r="B12" t="s">
        <v>5</v>
      </c>
      <c r="C12">
        <v>394.94099999999997</v>
      </c>
      <c r="D12">
        <v>33.130000000000003</v>
      </c>
      <c r="G12">
        <v>15</v>
      </c>
      <c r="H12" t="s">
        <v>117</v>
      </c>
      <c r="I12">
        <v>0</v>
      </c>
      <c r="K12">
        <v>10</v>
      </c>
      <c r="L12">
        <v>1</v>
      </c>
      <c r="M12">
        <f t="shared" si="1"/>
        <v>0.5</v>
      </c>
      <c r="N12">
        <v>5</v>
      </c>
      <c r="O12">
        <v>1</v>
      </c>
      <c r="P12">
        <f t="shared" si="2"/>
        <v>5</v>
      </c>
      <c r="AA12" t="s">
        <v>180</v>
      </c>
      <c r="AB12" t="s">
        <v>166</v>
      </c>
      <c r="AC12" t="s">
        <v>133</v>
      </c>
      <c r="AD12">
        <v>2102.7078336224363</v>
      </c>
      <c r="AE12">
        <v>2086.8300252835488</v>
      </c>
      <c r="AF12">
        <v>3239.0281447630673</v>
      </c>
      <c r="AG12">
        <f t="shared" si="4"/>
        <v>2476.1886678896844</v>
      </c>
    </row>
    <row r="13" spans="1:35" x14ac:dyDescent="0.2">
      <c r="A13" t="s">
        <v>16</v>
      </c>
      <c r="B13" t="s">
        <v>5</v>
      </c>
      <c r="C13">
        <v>394.94099999999997</v>
      </c>
      <c r="D13" t="s">
        <v>17</v>
      </c>
      <c r="G13" t="s">
        <v>118</v>
      </c>
      <c r="H13" t="s">
        <v>118</v>
      </c>
      <c r="K13">
        <v>10</v>
      </c>
      <c r="L13">
        <v>1</v>
      </c>
      <c r="M13">
        <f t="shared" si="1"/>
        <v>0.5</v>
      </c>
      <c r="N13">
        <v>0</v>
      </c>
      <c r="O13">
        <v>0</v>
      </c>
      <c r="P13">
        <v>0</v>
      </c>
      <c r="AA13" t="s">
        <v>180</v>
      </c>
      <c r="AB13" t="s">
        <v>167</v>
      </c>
      <c r="AC13" t="s">
        <v>134</v>
      </c>
      <c r="AD13">
        <v>2825.9294452569775</v>
      </c>
      <c r="AE13">
        <v>1820.6802016308263</v>
      </c>
      <c r="AF13">
        <v>2503.1773444528035</v>
      </c>
      <c r="AG13">
        <f t="shared" si="4"/>
        <v>2383.2623304468693</v>
      </c>
    </row>
    <row r="14" spans="1:35" x14ac:dyDescent="0.2">
      <c r="A14" t="s">
        <v>18</v>
      </c>
      <c r="B14" t="s">
        <v>5</v>
      </c>
      <c r="C14">
        <v>394.94099999999997</v>
      </c>
      <c r="D14">
        <v>21.14</v>
      </c>
      <c r="G14">
        <v>5</v>
      </c>
      <c r="H14" t="s">
        <v>112</v>
      </c>
      <c r="I14">
        <v>1000000</v>
      </c>
      <c r="J14">
        <f>LOG10(I14)</f>
        <v>6</v>
      </c>
      <c r="K14">
        <v>10</v>
      </c>
      <c r="L14">
        <v>1</v>
      </c>
      <c r="M14">
        <f>K14*L14/20</f>
        <v>0.5</v>
      </c>
      <c r="N14">
        <v>5</v>
      </c>
      <c r="O14">
        <v>1</v>
      </c>
      <c r="P14">
        <f>N14*O14</f>
        <v>5</v>
      </c>
      <c r="AA14" t="s">
        <v>180</v>
      </c>
      <c r="AB14" t="s">
        <v>168</v>
      </c>
      <c r="AC14" t="s">
        <v>135</v>
      </c>
      <c r="AD14">
        <v>4128.137098235542</v>
      </c>
      <c r="AE14">
        <v>3142.2974858072103</v>
      </c>
      <c r="AF14">
        <v>3855.9146165580696</v>
      </c>
      <c r="AG14">
        <f t="shared" si="4"/>
        <v>3708.7830668669408</v>
      </c>
    </row>
    <row r="15" spans="1:35" x14ac:dyDescent="0.2">
      <c r="A15" t="s">
        <v>19</v>
      </c>
      <c r="B15" t="s">
        <v>5</v>
      </c>
      <c r="C15">
        <v>394.94099999999997</v>
      </c>
      <c r="D15">
        <v>21.84</v>
      </c>
      <c r="G15">
        <v>6</v>
      </c>
      <c r="H15" t="s">
        <v>112</v>
      </c>
      <c r="I15">
        <v>1000000</v>
      </c>
      <c r="J15">
        <f t="shared" ref="J15:J23" si="5">LOG10(I15)</f>
        <v>6</v>
      </c>
      <c r="K15">
        <v>10</v>
      </c>
      <c r="L15">
        <v>1</v>
      </c>
      <c r="M15">
        <f t="shared" ref="M15:M25" si="6">K15*L15/20</f>
        <v>0.5</v>
      </c>
      <c r="N15">
        <v>5</v>
      </c>
      <c r="O15">
        <v>1</v>
      </c>
      <c r="P15">
        <f t="shared" ref="P15:P24" si="7">N15*O15</f>
        <v>5</v>
      </c>
      <c r="AA15" t="s">
        <v>180</v>
      </c>
      <c r="AB15" t="s">
        <v>169</v>
      </c>
      <c r="AC15" t="s">
        <v>136</v>
      </c>
      <c r="AD15">
        <v>7922.344500593088</v>
      </c>
      <c r="AE15">
        <v>6654.8923826626624</v>
      </c>
      <c r="AF15">
        <v>5464.5295923761723</v>
      </c>
      <c r="AG15">
        <f t="shared" si="4"/>
        <v>6680.5888252106415</v>
      </c>
    </row>
    <row r="16" spans="1:35" x14ac:dyDescent="0.2">
      <c r="A16" t="s">
        <v>20</v>
      </c>
      <c r="B16" t="s">
        <v>5</v>
      </c>
      <c r="C16">
        <v>394.94099999999997</v>
      </c>
      <c r="D16">
        <v>23.56</v>
      </c>
      <c r="G16">
        <v>7</v>
      </c>
      <c r="H16" t="s">
        <v>113</v>
      </c>
      <c r="I16">
        <v>100000</v>
      </c>
      <c r="J16">
        <f t="shared" si="5"/>
        <v>5</v>
      </c>
      <c r="K16">
        <v>10</v>
      </c>
      <c r="L16">
        <v>1</v>
      </c>
      <c r="M16">
        <f t="shared" si="6"/>
        <v>0.5</v>
      </c>
      <c r="N16">
        <v>5</v>
      </c>
      <c r="O16">
        <v>1</v>
      </c>
      <c r="P16">
        <f t="shared" si="7"/>
        <v>5</v>
      </c>
    </row>
    <row r="17" spans="1:30" x14ac:dyDescent="0.2">
      <c r="A17" t="s">
        <v>21</v>
      </c>
      <c r="B17" t="s">
        <v>5</v>
      </c>
      <c r="C17">
        <v>394.94099999999997</v>
      </c>
      <c r="D17">
        <v>23.8</v>
      </c>
      <c r="G17">
        <v>8</v>
      </c>
      <c r="H17" t="s">
        <v>113</v>
      </c>
      <c r="I17">
        <v>100000</v>
      </c>
      <c r="J17">
        <f t="shared" si="5"/>
        <v>5</v>
      </c>
      <c r="K17">
        <v>10</v>
      </c>
      <c r="L17">
        <v>1</v>
      </c>
      <c r="M17">
        <f t="shared" si="6"/>
        <v>0.5</v>
      </c>
      <c r="N17">
        <v>5</v>
      </c>
      <c r="O17">
        <v>1</v>
      </c>
      <c r="P17">
        <f t="shared" si="7"/>
        <v>5</v>
      </c>
      <c r="AD17" t="s">
        <v>149</v>
      </c>
    </row>
    <row r="18" spans="1:30" x14ac:dyDescent="0.2">
      <c r="A18" t="s">
        <v>22</v>
      </c>
      <c r="B18" t="s">
        <v>5</v>
      </c>
      <c r="C18">
        <v>394.94099999999997</v>
      </c>
      <c r="D18">
        <v>26.79</v>
      </c>
      <c r="G18">
        <v>9</v>
      </c>
      <c r="H18" t="s">
        <v>114</v>
      </c>
      <c r="I18">
        <v>10000</v>
      </c>
      <c r="J18">
        <f t="shared" si="5"/>
        <v>4</v>
      </c>
      <c r="K18">
        <v>10</v>
      </c>
      <c r="L18">
        <v>1</v>
      </c>
      <c r="M18">
        <f t="shared" si="6"/>
        <v>0.5</v>
      </c>
      <c r="N18">
        <v>5</v>
      </c>
      <c r="O18">
        <v>1</v>
      </c>
      <c r="P18">
        <f t="shared" si="7"/>
        <v>5</v>
      </c>
      <c r="AC18" t="s">
        <v>147</v>
      </c>
      <c r="AD18" t="s">
        <v>150</v>
      </c>
    </row>
    <row r="19" spans="1:30" x14ac:dyDescent="0.2">
      <c r="A19" t="s">
        <v>23</v>
      </c>
      <c r="B19" t="s">
        <v>5</v>
      </c>
      <c r="C19">
        <v>394.94099999999997</v>
      </c>
      <c r="D19">
        <v>26.9</v>
      </c>
      <c r="G19">
        <v>10</v>
      </c>
      <c r="H19" t="s">
        <v>114</v>
      </c>
      <c r="I19">
        <v>10000</v>
      </c>
      <c r="J19">
        <f t="shared" si="5"/>
        <v>4</v>
      </c>
      <c r="K19">
        <v>10</v>
      </c>
      <c r="L19">
        <v>1</v>
      </c>
      <c r="M19">
        <f t="shared" si="6"/>
        <v>0.5</v>
      </c>
      <c r="N19">
        <v>5</v>
      </c>
      <c r="O19">
        <v>1</v>
      </c>
      <c r="P19">
        <f t="shared" si="7"/>
        <v>5</v>
      </c>
      <c r="AC19" t="s">
        <v>148</v>
      </c>
      <c r="AD19">
        <v>4819.7107276641445</v>
      </c>
    </row>
    <row r="20" spans="1:30" x14ac:dyDescent="0.2">
      <c r="A20" t="s">
        <v>24</v>
      </c>
      <c r="B20" t="s">
        <v>5</v>
      </c>
      <c r="C20">
        <v>394.94099999999997</v>
      </c>
      <c r="D20">
        <v>30.05</v>
      </c>
      <c r="G20">
        <v>11</v>
      </c>
      <c r="H20" t="s">
        <v>115</v>
      </c>
      <c r="I20">
        <v>1000</v>
      </c>
      <c r="J20">
        <f t="shared" si="5"/>
        <v>3</v>
      </c>
      <c r="K20">
        <v>10</v>
      </c>
      <c r="L20">
        <v>1</v>
      </c>
      <c r="M20">
        <f t="shared" si="6"/>
        <v>0.5</v>
      </c>
      <c r="N20">
        <v>5</v>
      </c>
      <c r="O20">
        <v>1</v>
      </c>
      <c r="P20">
        <f t="shared" si="7"/>
        <v>5</v>
      </c>
      <c r="AC20" t="s">
        <v>181</v>
      </c>
      <c r="AD20" t="s">
        <v>150</v>
      </c>
    </row>
    <row r="21" spans="1:30" x14ac:dyDescent="0.2">
      <c r="A21" t="s">
        <v>25</v>
      </c>
      <c r="B21" t="s">
        <v>5</v>
      </c>
      <c r="C21">
        <v>394.94099999999997</v>
      </c>
      <c r="D21">
        <v>30.19</v>
      </c>
      <c r="G21">
        <v>12</v>
      </c>
      <c r="H21" t="s">
        <v>115</v>
      </c>
      <c r="I21">
        <v>1000</v>
      </c>
      <c r="J21">
        <f t="shared" si="5"/>
        <v>3</v>
      </c>
      <c r="K21">
        <v>10</v>
      </c>
      <c r="L21">
        <v>1</v>
      </c>
      <c r="M21">
        <f t="shared" si="6"/>
        <v>0.5</v>
      </c>
      <c r="N21">
        <v>5</v>
      </c>
      <c r="O21">
        <v>1</v>
      </c>
      <c r="P21">
        <f t="shared" si="7"/>
        <v>5</v>
      </c>
      <c r="AC21" t="s">
        <v>180</v>
      </c>
      <c r="AD21">
        <v>3062.2013956136202</v>
      </c>
    </row>
    <row r="22" spans="1:30" x14ac:dyDescent="0.2">
      <c r="A22" t="s">
        <v>26</v>
      </c>
      <c r="B22" t="s">
        <v>5</v>
      </c>
      <c r="C22">
        <v>394.94099999999997</v>
      </c>
      <c r="D22">
        <v>32.92</v>
      </c>
      <c r="G22">
        <v>13</v>
      </c>
      <c r="H22" t="s">
        <v>116</v>
      </c>
      <c r="I22">
        <v>100</v>
      </c>
      <c r="J22">
        <f t="shared" si="5"/>
        <v>2</v>
      </c>
      <c r="K22">
        <v>10</v>
      </c>
      <c r="L22">
        <v>1</v>
      </c>
      <c r="M22">
        <f t="shared" si="6"/>
        <v>0.5</v>
      </c>
      <c r="N22">
        <v>5</v>
      </c>
      <c r="O22">
        <v>1</v>
      </c>
      <c r="P22">
        <f t="shared" si="7"/>
        <v>5</v>
      </c>
    </row>
    <row r="23" spans="1:30" x14ac:dyDescent="0.2">
      <c r="A23" t="s">
        <v>27</v>
      </c>
      <c r="B23" t="s">
        <v>5</v>
      </c>
      <c r="C23">
        <v>394.94099999999997</v>
      </c>
      <c r="D23">
        <v>33.11</v>
      </c>
      <c r="G23">
        <v>14</v>
      </c>
      <c r="H23" t="s">
        <v>116</v>
      </c>
      <c r="I23">
        <v>100</v>
      </c>
      <c r="J23">
        <f t="shared" si="5"/>
        <v>2</v>
      </c>
      <c r="K23">
        <v>10</v>
      </c>
      <c r="L23">
        <v>1</v>
      </c>
      <c r="M23">
        <f t="shared" si="6"/>
        <v>0.5</v>
      </c>
      <c r="N23">
        <v>5</v>
      </c>
      <c r="O23">
        <v>1</v>
      </c>
      <c r="P23">
        <f t="shared" si="7"/>
        <v>5</v>
      </c>
    </row>
    <row r="24" spans="1:30" x14ac:dyDescent="0.2">
      <c r="A24" t="s">
        <v>28</v>
      </c>
      <c r="B24" t="s">
        <v>5</v>
      </c>
      <c r="C24">
        <v>394.94099999999997</v>
      </c>
      <c r="D24">
        <v>38.979999999999997</v>
      </c>
      <c r="G24">
        <v>15</v>
      </c>
      <c r="H24" t="s">
        <v>117</v>
      </c>
      <c r="I24">
        <v>0</v>
      </c>
      <c r="K24">
        <v>10</v>
      </c>
      <c r="L24">
        <v>1</v>
      </c>
      <c r="M24">
        <f t="shared" si="6"/>
        <v>0.5</v>
      </c>
      <c r="N24">
        <v>5</v>
      </c>
      <c r="O24">
        <v>1</v>
      </c>
      <c r="P24">
        <f t="shared" si="7"/>
        <v>5</v>
      </c>
    </row>
    <row r="25" spans="1:30" x14ac:dyDescent="0.2">
      <c r="A25" t="s">
        <v>29</v>
      </c>
      <c r="B25" t="s">
        <v>5</v>
      </c>
      <c r="C25">
        <v>394.94099999999997</v>
      </c>
      <c r="D25" t="s">
        <v>17</v>
      </c>
      <c r="G25" t="s">
        <v>118</v>
      </c>
      <c r="H25" t="s">
        <v>118</v>
      </c>
      <c r="K25">
        <v>10</v>
      </c>
      <c r="L25">
        <v>1</v>
      </c>
      <c r="M25">
        <f t="shared" si="6"/>
        <v>0.5</v>
      </c>
      <c r="N25">
        <v>0</v>
      </c>
      <c r="O25">
        <v>0</v>
      </c>
      <c r="P25">
        <v>0</v>
      </c>
    </row>
    <row r="26" spans="1:30" x14ac:dyDescent="0.2">
      <c r="A26" t="s">
        <v>30</v>
      </c>
      <c r="B26" t="s">
        <v>5</v>
      </c>
      <c r="C26">
        <v>394.94099999999997</v>
      </c>
      <c r="D26">
        <v>31.21</v>
      </c>
      <c r="E26" t="s">
        <v>152</v>
      </c>
      <c r="F26" t="s">
        <v>148</v>
      </c>
      <c r="G26" t="s">
        <v>119</v>
      </c>
      <c r="J26">
        <f>(D26-39.215)/-3.0378</f>
        <v>2.6351306866811517</v>
      </c>
      <c r="Q26">
        <f>POWER(10, J26)</f>
        <v>431.64894788101947</v>
      </c>
      <c r="R26">
        <f>Q26/0.25</f>
        <v>1726.5957915240779</v>
      </c>
    </row>
    <row r="27" spans="1:30" x14ac:dyDescent="0.2">
      <c r="A27" t="s">
        <v>31</v>
      </c>
      <c r="B27" t="s">
        <v>5</v>
      </c>
      <c r="C27">
        <v>394.94099999999997</v>
      </c>
      <c r="D27">
        <v>28.09</v>
      </c>
      <c r="E27" t="s">
        <v>153</v>
      </c>
      <c r="F27" t="s">
        <v>148</v>
      </c>
      <c r="G27" t="s">
        <v>120</v>
      </c>
      <c r="J27">
        <f t="shared" ref="J27:J31" si="8">(D27-39.215)/-3.0378</f>
        <v>3.6621897425768664</v>
      </c>
      <c r="Q27">
        <f t="shared" ref="Q27:Q31" si="9">POWER(10, J27)</f>
        <v>4593.986795595727</v>
      </c>
      <c r="R27">
        <f t="shared" ref="R27:R31" si="10">Q27/0.25</f>
        <v>18375.947182382908</v>
      </c>
    </row>
    <row r="28" spans="1:30" x14ac:dyDescent="0.2">
      <c r="A28" t="s">
        <v>32</v>
      </c>
      <c r="B28" t="s">
        <v>5</v>
      </c>
      <c r="C28">
        <v>394.94099999999997</v>
      </c>
      <c r="D28">
        <v>32.58</v>
      </c>
      <c r="E28" t="s">
        <v>154</v>
      </c>
      <c r="F28" t="s">
        <v>148</v>
      </c>
      <c r="G28" t="s">
        <v>121</v>
      </c>
      <c r="J28">
        <f t="shared" si="8"/>
        <v>2.1841464217525859</v>
      </c>
      <c r="Q28">
        <f t="shared" si="9"/>
        <v>152.80811617400045</v>
      </c>
      <c r="R28">
        <f t="shared" si="10"/>
        <v>611.23246469600178</v>
      </c>
    </row>
    <row r="29" spans="1:30" x14ac:dyDescent="0.2">
      <c r="A29" t="s">
        <v>33</v>
      </c>
      <c r="B29" t="s">
        <v>5</v>
      </c>
      <c r="C29">
        <v>394.94099999999997</v>
      </c>
      <c r="D29">
        <v>31.51</v>
      </c>
      <c r="E29" t="s">
        <v>155</v>
      </c>
      <c r="F29" t="s">
        <v>148</v>
      </c>
      <c r="G29" t="s">
        <v>122</v>
      </c>
      <c r="J29">
        <f t="shared" si="8"/>
        <v>2.5363750082296406</v>
      </c>
      <c r="Q29">
        <f t="shared" si="9"/>
        <v>343.85473430600126</v>
      </c>
      <c r="R29">
        <f t="shared" si="10"/>
        <v>1375.418937224005</v>
      </c>
    </row>
    <row r="30" spans="1:30" x14ac:dyDescent="0.2">
      <c r="A30" t="s">
        <v>34</v>
      </c>
      <c r="B30" t="s">
        <v>5</v>
      </c>
      <c r="C30">
        <v>394.94099999999997</v>
      </c>
      <c r="D30">
        <v>31.15</v>
      </c>
      <c r="E30" t="s">
        <v>156</v>
      </c>
      <c r="F30" t="s">
        <v>148</v>
      </c>
      <c r="G30" t="s">
        <v>123</v>
      </c>
      <c r="J30">
        <f t="shared" si="8"/>
        <v>2.654881822371455</v>
      </c>
      <c r="Q30">
        <f t="shared" si="9"/>
        <v>451.73300475333173</v>
      </c>
      <c r="R30">
        <f t="shared" si="10"/>
        <v>1806.9320190133269</v>
      </c>
    </row>
    <row r="31" spans="1:30" x14ac:dyDescent="0.2">
      <c r="A31" t="s">
        <v>35</v>
      </c>
      <c r="B31" t="s">
        <v>5</v>
      </c>
      <c r="C31">
        <v>394.94099999999997</v>
      </c>
      <c r="D31">
        <v>32.61</v>
      </c>
      <c r="E31" t="s">
        <v>157</v>
      </c>
      <c r="F31" t="s">
        <v>148</v>
      </c>
      <c r="G31" t="s">
        <v>124</v>
      </c>
      <c r="J31">
        <f t="shared" si="8"/>
        <v>2.1742708539074345</v>
      </c>
      <c r="Q31">
        <f t="shared" si="9"/>
        <v>149.37257023416646</v>
      </c>
      <c r="R31">
        <f t="shared" si="10"/>
        <v>597.49028093666584</v>
      </c>
    </row>
    <row r="32" spans="1:30" x14ac:dyDescent="0.2">
      <c r="A32" t="s">
        <v>36</v>
      </c>
      <c r="B32" t="s">
        <v>5</v>
      </c>
      <c r="C32">
        <v>394.94099999999997</v>
      </c>
      <c r="D32" t="s">
        <v>17</v>
      </c>
      <c r="E32" t="s">
        <v>158</v>
      </c>
      <c r="F32" t="s">
        <v>181</v>
      </c>
      <c r="G32" t="s">
        <v>125</v>
      </c>
    </row>
    <row r="33" spans="1:18" x14ac:dyDescent="0.2">
      <c r="A33" t="s">
        <v>37</v>
      </c>
      <c r="B33" t="s">
        <v>5</v>
      </c>
      <c r="C33">
        <v>394.94099999999997</v>
      </c>
      <c r="D33" t="s">
        <v>17</v>
      </c>
      <c r="E33" t="s">
        <v>159</v>
      </c>
      <c r="F33" t="s">
        <v>181</v>
      </c>
      <c r="G33" t="s">
        <v>126</v>
      </c>
    </row>
    <row r="34" spans="1:18" x14ac:dyDescent="0.2">
      <c r="A34" t="s">
        <v>38</v>
      </c>
      <c r="B34" t="s">
        <v>5</v>
      </c>
      <c r="C34">
        <v>394.94099999999997</v>
      </c>
      <c r="D34" t="s">
        <v>17</v>
      </c>
      <c r="E34" t="s">
        <v>160</v>
      </c>
      <c r="F34" t="s">
        <v>181</v>
      </c>
      <c r="G34" t="s">
        <v>127</v>
      </c>
    </row>
    <row r="35" spans="1:18" x14ac:dyDescent="0.2">
      <c r="A35" t="s">
        <v>39</v>
      </c>
      <c r="B35" t="s">
        <v>5</v>
      </c>
      <c r="C35">
        <v>394.94099999999997</v>
      </c>
      <c r="D35" t="s">
        <v>17</v>
      </c>
      <c r="E35" t="s">
        <v>161</v>
      </c>
      <c r="F35" t="s">
        <v>181</v>
      </c>
      <c r="G35" t="s">
        <v>128</v>
      </c>
    </row>
    <row r="36" spans="1:18" x14ac:dyDescent="0.2">
      <c r="A36" t="s">
        <v>40</v>
      </c>
      <c r="B36" t="s">
        <v>5</v>
      </c>
      <c r="C36">
        <v>394.94099999999997</v>
      </c>
      <c r="D36" t="s">
        <v>17</v>
      </c>
      <c r="E36" t="s">
        <v>162</v>
      </c>
      <c r="F36" t="s">
        <v>181</v>
      </c>
      <c r="G36" t="s">
        <v>129</v>
      </c>
    </row>
    <row r="37" spans="1:18" x14ac:dyDescent="0.2">
      <c r="A37" t="s">
        <v>41</v>
      </c>
      <c r="B37" t="s">
        <v>5</v>
      </c>
      <c r="C37">
        <v>394.94099999999997</v>
      </c>
      <c r="D37" t="s">
        <v>17</v>
      </c>
      <c r="E37" t="s">
        <v>163</v>
      </c>
      <c r="F37" t="s">
        <v>181</v>
      </c>
      <c r="G37" t="s">
        <v>130</v>
      </c>
    </row>
    <row r="38" spans="1:18" x14ac:dyDescent="0.2">
      <c r="A38" t="s">
        <v>42</v>
      </c>
      <c r="B38" t="s">
        <v>5</v>
      </c>
      <c r="C38">
        <v>394.94099999999997</v>
      </c>
      <c r="D38">
        <v>32.28</v>
      </c>
      <c r="E38" t="s">
        <v>164</v>
      </c>
      <c r="F38" t="s">
        <v>180</v>
      </c>
      <c r="G38" t="s">
        <v>131</v>
      </c>
      <c r="J38">
        <f>(D38-39.215)/-3.0378</f>
        <v>2.2829021002040961</v>
      </c>
      <c r="Q38">
        <f>POWER(10, J38)</f>
        <v>191.82362780990385</v>
      </c>
      <c r="R38">
        <f>Q38/0.25</f>
        <v>767.29451123961542</v>
      </c>
    </row>
    <row r="39" spans="1:18" x14ac:dyDescent="0.2">
      <c r="A39" t="s">
        <v>43</v>
      </c>
      <c r="B39" t="s">
        <v>5</v>
      </c>
      <c r="C39">
        <v>394.94099999999997</v>
      </c>
      <c r="D39">
        <v>30.82</v>
      </c>
      <c r="E39" t="s">
        <v>165</v>
      </c>
      <c r="F39" t="s">
        <v>180</v>
      </c>
      <c r="G39" t="s">
        <v>132</v>
      </c>
      <c r="J39">
        <f t="shared" ref="J39:J43" si="11">(D39-39.215)/-3.0378</f>
        <v>2.7635130686681162</v>
      </c>
      <c r="Q39">
        <f t="shared" ref="Q39:Q43" si="12">POWER(10, J39)</f>
        <v>580.11362887717155</v>
      </c>
      <c r="R39">
        <f t="shared" ref="R39:R43" si="13">Q39/0.25</f>
        <v>2320.4545155086862</v>
      </c>
    </row>
    <row r="40" spans="1:18" x14ac:dyDescent="0.2">
      <c r="A40" t="s">
        <v>44</v>
      </c>
      <c r="B40" t="s">
        <v>5</v>
      </c>
      <c r="C40">
        <v>394.94099999999997</v>
      </c>
      <c r="D40">
        <v>30.95</v>
      </c>
      <c r="E40" t="s">
        <v>166</v>
      </c>
      <c r="F40" t="s">
        <v>180</v>
      </c>
      <c r="G40" t="s">
        <v>133</v>
      </c>
      <c r="J40">
        <f t="shared" si="11"/>
        <v>2.7207189413391286</v>
      </c>
      <c r="Q40">
        <f t="shared" si="12"/>
        <v>525.67695840560907</v>
      </c>
      <c r="R40">
        <f t="shared" si="13"/>
        <v>2102.7078336224363</v>
      </c>
    </row>
    <row r="41" spans="1:18" x14ac:dyDescent="0.2">
      <c r="A41" t="s">
        <v>45</v>
      </c>
      <c r="B41" t="s">
        <v>5</v>
      </c>
      <c r="C41">
        <v>394.94099999999997</v>
      </c>
      <c r="D41">
        <v>30.56</v>
      </c>
      <c r="E41" t="s">
        <v>167</v>
      </c>
      <c r="F41" t="s">
        <v>180</v>
      </c>
      <c r="G41" t="s">
        <v>134</v>
      </c>
      <c r="J41">
        <f t="shared" si="11"/>
        <v>2.8491013233260931</v>
      </c>
      <c r="Q41">
        <f t="shared" si="12"/>
        <v>706.48236131424437</v>
      </c>
      <c r="R41">
        <f t="shared" si="13"/>
        <v>2825.9294452569775</v>
      </c>
    </row>
    <row r="42" spans="1:18" x14ac:dyDescent="0.2">
      <c r="A42" t="s">
        <v>46</v>
      </c>
      <c r="B42" t="s">
        <v>5</v>
      </c>
      <c r="C42">
        <v>394.94099999999997</v>
      </c>
      <c r="D42">
        <v>30.06</v>
      </c>
      <c r="E42" t="s">
        <v>168</v>
      </c>
      <c r="F42" t="s">
        <v>180</v>
      </c>
      <c r="G42" t="s">
        <v>135</v>
      </c>
      <c r="J42">
        <f t="shared" si="11"/>
        <v>3.0136941207452779</v>
      </c>
      <c r="Q42">
        <f t="shared" si="12"/>
        <v>1032.0342745588855</v>
      </c>
      <c r="R42">
        <f t="shared" si="13"/>
        <v>4128.137098235542</v>
      </c>
    </row>
    <row r="43" spans="1:18" x14ac:dyDescent="0.2">
      <c r="A43" t="s">
        <v>47</v>
      </c>
      <c r="B43" t="s">
        <v>5</v>
      </c>
      <c r="C43">
        <v>394.94099999999997</v>
      </c>
      <c r="D43">
        <v>29.2</v>
      </c>
      <c r="E43" t="s">
        <v>169</v>
      </c>
      <c r="F43" t="s">
        <v>180</v>
      </c>
      <c r="G43" t="s">
        <v>136</v>
      </c>
      <c r="J43">
        <f t="shared" si="11"/>
        <v>3.2967937323062757</v>
      </c>
      <c r="Q43">
        <f t="shared" si="12"/>
        <v>1980.586125148272</v>
      </c>
      <c r="R43">
        <f t="shared" si="13"/>
        <v>7922.344500593088</v>
      </c>
    </row>
    <row r="44" spans="1:18" x14ac:dyDescent="0.2">
      <c r="A44" t="s">
        <v>48</v>
      </c>
      <c r="B44" t="s">
        <v>5</v>
      </c>
      <c r="C44">
        <v>394.94099999999997</v>
      </c>
      <c r="D44" t="s">
        <v>17</v>
      </c>
      <c r="E44" t="s">
        <v>170</v>
      </c>
      <c r="F44" t="s">
        <v>147</v>
      </c>
      <c r="G44" t="s">
        <v>137</v>
      </c>
    </row>
    <row r="45" spans="1:18" x14ac:dyDescent="0.2">
      <c r="A45" t="s">
        <v>49</v>
      </c>
      <c r="B45" t="s">
        <v>5</v>
      </c>
      <c r="C45">
        <v>394.94099999999997</v>
      </c>
      <c r="D45" t="s">
        <v>17</v>
      </c>
      <c r="E45" t="s">
        <v>171</v>
      </c>
      <c r="F45" t="s">
        <v>147</v>
      </c>
      <c r="G45" t="s">
        <v>138</v>
      </c>
    </row>
    <row r="46" spans="1:18" x14ac:dyDescent="0.2">
      <c r="A46" t="s">
        <v>50</v>
      </c>
      <c r="B46" t="s">
        <v>5</v>
      </c>
      <c r="C46">
        <v>394.94099999999997</v>
      </c>
      <c r="D46" t="s">
        <v>17</v>
      </c>
      <c r="E46" t="s">
        <v>172</v>
      </c>
      <c r="F46" t="s">
        <v>147</v>
      </c>
      <c r="G46" t="s">
        <v>139</v>
      </c>
    </row>
    <row r="47" spans="1:18" x14ac:dyDescent="0.2">
      <c r="A47" t="s">
        <v>51</v>
      </c>
      <c r="B47" t="s">
        <v>5</v>
      </c>
      <c r="C47">
        <v>394.94099999999997</v>
      </c>
      <c r="D47" t="s">
        <v>17</v>
      </c>
      <c r="E47" t="s">
        <v>173</v>
      </c>
      <c r="F47" t="s">
        <v>147</v>
      </c>
      <c r="G47" t="s">
        <v>140</v>
      </c>
    </row>
    <row r="48" spans="1:18" x14ac:dyDescent="0.2">
      <c r="A48" t="s">
        <v>52</v>
      </c>
      <c r="B48" t="s">
        <v>5</v>
      </c>
      <c r="C48">
        <v>394.94099999999997</v>
      </c>
      <c r="D48" t="s">
        <v>17</v>
      </c>
      <c r="E48" t="s">
        <v>174</v>
      </c>
      <c r="F48" t="s">
        <v>147</v>
      </c>
      <c r="G48" t="s">
        <v>141</v>
      </c>
    </row>
    <row r="49" spans="1:18" x14ac:dyDescent="0.2">
      <c r="A49" t="s">
        <v>53</v>
      </c>
      <c r="B49" t="s">
        <v>5</v>
      </c>
      <c r="C49">
        <v>394.94099999999997</v>
      </c>
      <c r="D49" t="s">
        <v>17</v>
      </c>
      <c r="E49" t="s">
        <v>175</v>
      </c>
      <c r="F49" t="s">
        <v>147</v>
      </c>
      <c r="G49" t="s">
        <v>142</v>
      </c>
    </row>
    <row r="50" spans="1:18" x14ac:dyDescent="0.2">
      <c r="A50" t="s">
        <v>54</v>
      </c>
      <c r="B50" t="s">
        <v>5</v>
      </c>
      <c r="C50">
        <v>394.94099999999997</v>
      </c>
      <c r="D50">
        <v>32.5</v>
      </c>
      <c r="E50" t="s">
        <v>152</v>
      </c>
      <c r="F50" t="s">
        <v>148</v>
      </c>
      <c r="G50" t="s">
        <v>119</v>
      </c>
      <c r="J50">
        <f>(D50-39.215)/-3.0378</f>
        <v>2.2104812693396547</v>
      </c>
      <c r="Q50">
        <f>POWER(10, J50)</f>
        <v>162.36083244675174</v>
      </c>
      <c r="R50">
        <f>Q50/0.25</f>
        <v>649.44332978700697</v>
      </c>
    </row>
    <row r="51" spans="1:18" x14ac:dyDescent="0.2">
      <c r="A51" t="s">
        <v>55</v>
      </c>
      <c r="B51" t="s">
        <v>5</v>
      </c>
      <c r="C51">
        <v>394.94099999999997</v>
      </c>
      <c r="D51">
        <v>27.88</v>
      </c>
      <c r="E51" t="s">
        <v>153</v>
      </c>
      <c r="F51" t="s">
        <v>148</v>
      </c>
      <c r="G51" t="s">
        <v>120</v>
      </c>
      <c r="J51">
        <f t="shared" ref="J51:J54" si="14">(D51-39.215)/-3.0378</f>
        <v>3.7313187174929241</v>
      </c>
      <c r="Q51">
        <f t="shared" ref="Q51:Q54" si="15">POWER(10, J51)</f>
        <v>5386.6494977815546</v>
      </c>
      <c r="R51">
        <f t="shared" ref="R51:R54" si="16">Q51/0.25</f>
        <v>21546.597991126218</v>
      </c>
    </row>
    <row r="52" spans="1:18" x14ac:dyDescent="0.2">
      <c r="A52" t="s">
        <v>56</v>
      </c>
      <c r="B52" t="s">
        <v>5</v>
      </c>
      <c r="C52">
        <v>394.94099999999997</v>
      </c>
      <c r="D52">
        <v>31.43</v>
      </c>
      <c r="E52" t="s">
        <v>154</v>
      </c>
      <c r="F52" t="s">
        <v>148</v>
      </c>
      <c r="G52" t="s">
        <v>121</v>
      </c>
      <c r="J52">
        <f t="shared" si="14"/>
        <v>2.5627098558167107</v>
      </c>
      <c r="Q52">
        <f t="shared" si="15"/>
        <v>365.35062600410566</v>
      </c>
      <c r="R52">
        <f t="shared" si="16"/>
        <v>1461.4025040164227</v>
      </c>
    </row>
    <row r="53" spans="1:18" x14ac:dyDescent="0.2">
      <c r="A53" t="s">
        <v>57</v>
      </c>
      <c r="B53" t="s">
        <v>5</v>
      </c>
      <c r="C53">
        <v>394.94099999999997</v>
      </c>
      <c r="D53">
        <v>30.38</v>
      </c>
      <c r="E53" t="s">
        <v>155</v>
      </c>
      <c r="F53" t="s">
        <v>148</v>
      </c>
      <c r="G53" t="s">
        <v>122</v>
      </c>
      <c r="J53">
        <f t="shared" si="14"/>
        <v>2.9083547303969994</v>
      </c>
      <c r="Q53">
        <f t="shared" si="15"/>
        <v>809.75703619076683</v>
      </c>
      <c r="R53">
        <f t="shared" si="16"/>
        <v>3239.0281447630673</v>
      </c>
    </row>
    <row r="54" spans="1:18" x14ac:dyDescent="0.2">
      <c r="A54" t="s">
        <v>58</v>
      </c>
      <c r="B54" t="s">
        <v>5</v>
      </c>
      <c r="C54">
        <v>394.94099999999997</v>
      </c>
      <c r="D54">
        <v>31.94</v>
      </c>
      <c r="E54" t="s">
        <v>156</v>
      </c>
      <c r="F54" t="s">
        <v>148</v>
      </c>
      <c r="G54" t="s">
        <v>123</v>
      </c>
      <c r="J54">
        <f t="shared" si="14"/>
        <v>2.3948252024491419</v>
      </c>
      <c r="Q54">
        <f t="shared" si="15"/>
        <v>248.21338795020728</v>
      </c>
      <c r="R54">
        <f t="shared" si="16"/>
        <v>992.85355180082911</v>
      </c>
    </row>
    <row r="55" spans="1:18" x14ac:dyDescent="0.2">
      <c r="A55" t="s">
        <v>59</v>
      </c>
      <c r="B55" t="s">
        <v>5</v>
      </c>
      <c r="C55">
        <v>394.94099999999997</v>
      </c>
      <c r="D55" t="s">
        <v>17</v>
      </c>
      <c r="E55" t="s">
        <v>157</v>
      </c>
      <c r="F55" t="s">
        <v>148</v>
      </c>
      <c r="G55" t="s">
        <v>124</v>
      </c>
    </row>
    <row r="56" spans="1:18" x14ac:dyDescent="0.2">
      <c r="A56" t="s">
        <v>60</v>
      </c>
      <c r="B56" t="s">
        <v>5</v>
      </c>
      <c r="C56">
        <v>394.94099999999997</v>
      </c>
      <c r="D56">
        <v>35.06</v>
      </c>
      <c r="E56" t="s">
        <v>158</v>
      </c>
      <c r="F56" t="s">
        <v>181</v>
      </c>
      <c r="G56" t="s">
        <v>125</v>
      </c>
    </row>
    <row r="57" spans="1:18" x14ac:dyDescent="0.2">
      <c r="A57" t="s">
        <v>61</v>
      </c>
      <c r="B57" t="s">
        <v>5</v>
      </c>
      <c r="C57">
        <v>394.94099999999997</v>
      </c>
      <c r="D57">
        <v>33.47</v>
      </c>
      <c r="E57" t="s">
        <v>159</v>
      </c>
      <c r="F57" t="s">
        <v>181</v>
      </c>
      <c r="G57" t="s">
        <v>126</v>
      </c>
    </row>
    <row r="58" spans="1:18" x14ac:dyDescent="0.2">
      <c r="A58" t="s">
        <v>62</v>
      </c>
      <c r="B58" t="s">
        <v>5</v>
      </c>
      <c r="C58">
        <v>394.94099999999997</v>
      </c>
      <c r="D58" t="s">
        <v>17</v>
      </c>
      <c r="E58" t="s">
        <v>160</v>
      </c>
      <c r="F58" t="s">
        <v>181</v>
      </c>
      <c r="G58" t="s">
        <v>127</v>
      </c>
    </row>
    <row r="59" spans="1:18" x14ac:dyDescent="0.2">
      <c r="A59" t="s">
        <v>63</v>
      </c>
      <c r="B59" t="s">
        <v>5</v>
      </c>
      <c r="C59">
        <v>394.94099999999997</v>
      </c>
      <c r="D59" t="s">
        <v>17</v>
      </c>
      <c r="E59" t="s">
        <v>161</v>
      </c>
      <c r="F59" t="s">
        <v>181</v>
      </c>
      <c r="G59" t="s">
        <v>128</v>
      </c>
    </row>
    <row r="60" spans="1:18" x14ac:dyDescent="0.2">
      <c r="A60" t="s">
        <v>64</v>
      </c>
      <c r="B60" t="s">
        <v>5</v>
      </c>
      <c r="C60">
        <v>394.94099999999997</v>
      </c>
      <c r="D60">
        <v>35.47</v>
      </c>
      <c r="E60" t="s">
        <v>162</v>
      </c>
      <c r="F60" t="s">
        <v>181</v>
      </c>
      <c r="G60" t="s">
        <v>129</v>
      </c>
    </row>
    <row r="61" spans="1:18" x14ac:dyDescent="0.2">
      <c r="A61" t="s">
        <v>65</v>
      </c>
      <c r="B61" t="s">
        <v>5</v>
      </c>
      <c r="C61">
        <v>394.94099999999997</v>
      </c>
      <c r="D61" t="s">
        <v>17</v>
      </c>
      <c r="E61" t="s">
        <v>163</v>
      </c>
      <c r="F61" t="s">
        <v>181</v>
      </c>
      <c r="G61" t="s">
        <v>130</v>
      </c>
    </row>
    <row r="62" spans="1:18" x14ac:dyDescent="0.2">
      <c r="A62" t="s">
        <v>66</v>
      </c>
      <c r="B62" t="s">
        <v>5</v>
      </c>
      <c r="C62">
        <v>394.94099999999997</v>
      </c>
      <c r="D62">
        <v>30.91</v>
      </c>
      <c r="E62" t="s">
        <v>164</v>
      </c>
      <c r="F62" t="s">
        <v>180</v>
      </c>
      <c r="G62" t="s">
        <v>131</v>
      </c>
      <c r="J62">
        <f>(D62-39.215)/-3.0378</f>
        <v>2.7338863651326628</v>
      </c>
      <c r="Q62">
        <f>POWER(10, J62)</f>
        <v>541.85909227872219</v>
      </c>
      <c r="R62">
        <f>Q62/0.25</f>
        <v>2167.4363691148887</v>
      </c>
    </row>
    <row r="63" spans="1:18" x14ac:dyDescent="0.2">
      <c r="A63" t="s">
        <v>67</v>
      </c>
      <c r="B63" t="s">
        <v>5</v>
      </c>
      <c r="C63">
        <v>394.94099999999997</v>
      </c>
      <c r="D63">
        <v>31.67</v>
      </c>
      <c r="E63" t="s">
        <v>165</v>
      </c>
      <c r="F63" t="s">
        <v>180</v>
      </c>
      <c r="G63" t="s">
        <v>132</v>
      </c>
      <c r="J63">
        <f t="shared" ref="J63:J67" si="17">(D63-39.215)/-3.0378</f>
        <v>2.4837053130555016</v>
      </c>
      <c r="Q63">
        <f t="shared" ref="Q63:Q67" si="18">POWER(10, J63)</f>
        <v>304.58275670762566</v>
      </c>
      <c r="R63">
        <f t="shared" ref="R63:R67" si="19">Q63/0.25</f>
        <v>1218.3310268305027</v>
      </c>
    </row>
    <row r="64" spans="1:18" x14ac:dyDescent="0.2">
      <c r="A64" t="s">
        <v>68</v>
      </c>
      <c r="B64" t="s">
        <v>5</v>
      </c>
      <c r="C64">
        <v>394.94099999999997</v>
      </c>
      <c r="D64">
        <v>30.96</v>
      </c>
      <c r="E64" t="s">
        <v>166</v>
      </c>
      <c r="F64" t="s">
        <v>180</v>
      </c>
      <c r="G64" t="s">
        <v>133</v>
      </c>
      <c r="J64">
        <f t="shared" si="17"/>
        <v>2.7174270853907445</v>
      </c>
      <c r="Q64">
        <f t="shared" si="18"/>
        <v>521.70750632088721</v>
      </c>
      <c r="R64">
        <f t="shared" si="19"/>
        <v>2086.8300252835488</v>
      </c>
    </row>
    <row r="65" spans="1:18" x14ac:dyDescent="0.2">
      <c r="A65" t="s">
        <v>69</v>
      </c>
      <c r="B65" t="s">
        <v>5</v>
      </c>
      <c r="C65">
        <v>394.94099999999997</v>
      </c>
      <c r="D65">
        <v>31.14</v>
      </c>
      <c r="E65" t="s">
        <v>167</v>
      </c>
      <c r="F65" t="s">
        <v>180</v>
      </c>
      <c r="G65" t="s">
        <v>134</v>
      </c>
      <c r="J65">
        <f t="shared" si="17"/>
        <v>2.6581736783198378</v>
      </c>
      <c r="Q65">
        <f t="shared" si="18"/>
        <v>455.17005040770658</v>
      </c>
      <c r="R65">
        <f t="shared" si="19"/>
        <v>1820.6802016308263</v>
      </c>
    </row>
    <row r="66" spans="1:18" x14ac:dyDescent="0.2">
      <c r="A66" t="s">
        <v>70</v>
      </c>
      <c r="B66" t="s">
        <v>5</v>
      </c>
      <c r="C66">
        <v>394.94099999999997</v>
      </c>
      <c r="D66">
        <v>30.42</v>
      </c>
      <c r="E66" t="s">
        <v>168</v>
      </c>
      <c r="F66" t="s">
        <v>180</v>
      </c>
      <c r="G66" t="s">
        <v>135</v>
      </c>
      <c r="J66">
        <f t="shared" si="17"/>
        <v>2.8951873066034639</v>
      </c>
      <c r="Q66">
        <f t="shared" si="18"/>
        <v>785.57437145180256</v>
      </c>
      <c r="R66">
        <f t="shared" si="19"/>
        <v>3142.2974858072103</v>
      </c>
    </row>
    <row r="67" spans="1:18" x14ac:dyDescent="0.2">
      <c r="A67" t="s">
        <v>71</v>
      </c>
      <c r="B67" t="s">
        <v>5</v>
      </c>
      <c r="C67">
        <v>394.94099999999997</v>
      </c>
      <c r="D67">
        <v>29.43</v>
      </c>
      <c r="E67" t="s">
        <v>169</v>
      </c>
      <c r="F67" t="s">
        <v>180</v>
      </c>
      <c r="G67" t="s">
        <v>136</v>
      </c>
      <c r="J67">
        <f t="shared" si="17"/>
        <v>3.2210810454934506</v>
      </c>
      <c r="Q67">
        <f t="shared" si="18"/>
        <v>1663.7230956656656</v>
      </c>
      <c r="R67">
        <f t="shared" si="19"/>
        <v>6654.8923826626624</v>
      </c>
    </row>
    <row r="68" spans="1:18" x14ac:dyDescent="0.2">
      <c r="A68" t="s">
        <v>72</v>
      </c>
      <c r="B68" t="s">
        <v>5</v>
      </c>
      <c r="C68">
        <v>394.94099999999997</v>
      </c>
      <c r="D68" t="s">
        <v>17</v>
      </c>
      <c r="E68" t="s">
        <v>170</v>
      </c>
      <c r="F68" t="s">
        <v>147</v>
      </c>
      <c r="G68" t="s">
        <v>137</v>
      </c>
    </row>
    <row r="69" spans="1:18" x14ac:dyDescent="0.2">
      <c r="A69" t="s">
        <v>73</v>
      </c>
      <c r="B69" t="s">
        <v>5</v>
      </c>
      <c r="C69">
        <v>394.94099999999997</v>
      </c>
      <c r="D69" t="s">
        <v>17</v>
      </c>
      <c r="E69" t="s">
        <v>171</v>
      </c>
      <c r="F69" t="s">
        <v>147</v>
      </c>
      <c r="G69" t="s">
        <v>138</v>
      </c>
    </row>
    <row r="70" spans="1:18" x14ac:dyDescent="0.2">
      <c r="A70" t="s">
        <v>74</v>
      </c>
      <c r="B70" t="s">
        <v>5</v>
      </c>
      <c r="C70">
        <v>394.94099999999997</v>
      </c>
      <c r="D70" t="s">
        <v>17</v>
      </c>
      <c r="E70" t="s">
        <v>172</v>
      </c>
      <c r="F70" t="s">
        <v>147</v>
      </c>
      <c r="G70" t="s">
        <v>139</v>
      </c>
    </row>
    <row r="71" spans="1:18" x14ac:dyDescent="0.2">
      <c r="A71" t="s">
        <v>75</v>
      </c>
      <c r="B71" t="s">
        <v>5</v>
      </c>
      <c r="C71">
        <v>394.94099999999997</v>
      </c>
      <c r="D71" t="s">
        <v>17</v>
      </c>
      <c r="E71" t="s">
        <v>173</v>
      </c>
      <c r="F71" t="s">
        <v>147</v>
      </c>
      <c r="G71" t="s">
        <v>140</v>
      </c>
    </row>
    <row r="72" spans="1:18" x14ac:dyDescent="0.2">
      <c r="A72" t="s">
        <v>76</v>
      </c>
      <c r="B72" t="s">
        <v>5</v>
      </c>
      <c r="C72">
        <v>394.94099999999997</v>
      </c>
      <c r="D72" t="s">
        <v>17</v>
      </c>
      <c r="E72" t="s">
        <v>174</v>
      </c>
      <c r="F72" t="s">
        <v>147</v>
      </c>
      <c r="G72" t="s">
        <v>141</v>
      </c>
    </row>
    <row r="73" spans="1:18" x14ac:dyDescent="0.2">
      <c r="A73" t="s">
        <v>77</v>
      </c>
      <c r="B73" t="s">
        <v>5</v>
      </c>
      <c r="C73">
        <v>394.94099999999997</v>
      </c>
      <c r="D73" t="s">
        <v>17</v>
      </c>
      <c r="E73" t="s">
        <v>175</v>
      </c>
      <c r="F73" t="s">
        <v>147</v>
      </c>
      <c r="G73" t="s">
        <v>142</v>
      </c>
    </row>
    <row r="74" spans="1:18" x14ac:dyDescent="0.2">
      <c r="A74" t="s">
        <v>78</v>
      </c>
      <c r="B74" t="s">
        <v>5</v>
      </c>
      <c r="C74">
        <v>394.94099999999997</v>
      </c>
      <c r="D74">
        <v>32.06</v>
      </c>
      <c r="E74" t="s">
        <v>152</v>
      </c>
      <c r="F74" t="s">
        <v>148</v>
      </c>
      <c r="G74" t="s">
        <v>119</v>
      </c>
      <c r="J74">
        <f>(D74-39.215)/-3.0378</f>
        <v>2.3553229310685371</v>
      </c>
      <c r="Q74">
        <f>POWER(10, J74)</f>
        <v>226.63288695702062</v>
      </c>
      <c r="R74">
        <f>Q74/0.25</f>
        <v>906.53154782808247</v>
      </c>
    </row>
    <row r="75" spans="1:18" x14ac:dyDescent="0.2">
      <c r="A75" t="s">
        <v>79</v>
      </c>
      <c r="B75" t="s">
        <v>5</v>
      </c>
      <c r="C75">
        <v>394.94099999999997</v>
      </c>
      <c r="D75">
        <v>27.53</v>
      </c>
      <c r="E75" t="s">
        <v>153</v>
      </c>
      <c r="F75" t="s">
        <v>148</v>
      </c>
      <c r="G75" t="s">
        <v>120</v>
      </c>
      <c r="J75">
        <f t="shared" ref="J75:J79" si="20">(D75-39.215)/-3.0378</f>
        <v>3.8465336756863531</v>
      </c>
      <c r="Q75">
        <f t="shared" ref="Q75:Q79" si="21">POWER(10, J75)</f>
        <v>7023.1780014265623</v>
      </c>
      <c r="R75">
        <f t="shared" ref="R75:R79" si="22">Q75/0.25</f>
        <v>28092.712005706249</v>
      </c>
    </row>
    <row r="76" spans="1:18" x14ac:dyDescent="0.2">
      <c r="A76" t="s">
        <v>80</v>
      </c>
      <c r="B76" t="s">
        <v>5</v>
      </c>
      <c r="C76">
        <v>394.94099999999997</v>
      </c>
      <c r="D76">
        <v>32.92</v>
      </c>
      <c r="E76" t="s">
        <v>154</v>
      </c>
      <c r="F76" t="s">
        <v>148</v>
      </c>
      <c r="G76" t="s">
        <v>121</v>
      </c>
      <c r="J76">
        <f t="shared" si="20"/>
        <v>2.0722233195075392</v>
      </c>
      <c r="Q76">
        <f t="shared" si="21"/>
        <v>118.09277269594375</v>
      </c>
      <c r="R76">
        <f t="shared" si="22"/>
        <v>472.371090783775</v>
      </c>
    </row>
    <row r="77" spans="1:18" x14ac:dyDescent="0.2">
      <c r="A77" t="s">
        <v>81</v>
      </c>
      <c r="B77" t="s">
        <v>5</v>
      </c>
      <c r="C77">
        <v>394.94099999999997</v>
      </c>
      <c r="D77">
        <v>30.36</v>
      </c>
      <c r="E77" t="s">
        <v>155</v>
      </c>
      <c r="F77" t="s">
        <v>148</v>
      </c>
      <c r="G77" t="s">
        <v>122</v>
      </c>
      <c r="J77">
        <f t="shared" si="20"/>
        <v>2.9149384422937668</v>
      </c>
      <c r="Q77">
        <f t="shared" si="21"/>
        <v>822.12611200653123</v>
      </c>
      <c r="R77">
        <f t="shared" si="22"/>
        <v>3288.5044480261249</v>
      </c>
    </row>
    <row r="78" spans="1:18" x14ac:dyDescent="0.2">
      <c r="A78" t="s">
        <v>82</v>
      </c>
      <c r="B78" t="s">
        <v>5</v>
      </c>
      <c r="C78">
        <v>394.94099999999997</v>
      </c>
      <c r="D78">
        <v>31.59</v>
      </c>
      <c r="E78" t="s">
        <v>156</v>
      </c>
      <c r="F78" t="s">
        <v>148</v>
      </c>
      <c r="G78" t="s">
        <v>123</v>
      </c>
      <c r="J78">
        <f t="shared" si="20"/>
        <v>2.5100401606425717</v>
      </c>
      <c r="Q78">
        <f t="shared" si="21"/>
        <v>323.62358208556174</v>
      </c>
      <c r="R78">
        <f t="shared" si="22"/>
        <v>1294.4943283422469</v>
      </c>
    </row>
    <row r="79" spans="1:18" x14ac:dyDescent="0.2">
      <c r="A79" t="s">
        <v>83</v>
      </c>
      <c r="B79" t="s">
        <v>5</v>
      </c>
      <c r="C79">
        <v>394.94099999999997</v>
      </c>
      <c r="D79">
        <v>37.729999999999997</v>
      </c>
      <c r="E79" t="s">
        <v>157</v>
      </c>
      <c r="F79" t="s">
        <v>148</v>
      </c>
      <c r="G79" t="s">
        <v>124</v>
      </c>
      <c r="J79">
        <f t="shared" si="20"/>
        <v>0.48884060833498144</v>
      </c>
      <c r="Q79">
        <f t="shared" si="21"/>
        <v>3.0820565882102899</v>
      </c>
      <c r="R79">
        <f t="shared" si="22"/>
        <v>12.32822635284116</v>
      </c>
    </row>
    <row r="80" spans="1:18" x14ac:dyDescent="0.2">
      <c r="A80" t="s">
        <v>84</v>
      </c>
      <c r="B80" t="s">
        <v>5</v>
      </c>
      <c r="C80">
        <v>394.94099999999997</v>
      </c>
      <c r="D80" t="s">
        <v>17</v>
      </c>
      <c r="E80" t="s">
        <v>158</v>
      </c>
      <c r="F80" t="s">
        <v>181</v>
      </c>
      <c r="G80" t="s">
        <v>125</v>
      </c>
    </row>
    <row r="81" spans="1:18" x14ac:dyDescent="0.2">
      <c r="A81" t="s">
        <v>85</v>
      </c>
      <c r="B81" t="s">
        <v>5</v>
      </c>
      <c r="C81">
        <v>394.94099999999997</v>
      </c>
      <c r="D81" t="s">
        <v>17</v>
      </c>
      <c r="E81" t="s">
        <v>159</v>
      </c>
      <c r="F81" t="s">
        <v>181</v>
      </c>
      <c r="G81" t="s">
        <v>126</v>
      </c>
    </row>
    <row r="82" spans="1:18" x14ac:dyDescent="0.2">
      <c r="A82" t="s">
        <v>86</v>
      </c>
      <c r="B82" t="s">
        <v>5</v>
      </c>
      <c r="C82">
        <v>394.94099999999997</v>
      </c>
      <c r="D82">
        <v>34.32</v>
      </c>
      <c r="E82" t="s">
        <v>160</v>
      </c>
      <c r="F82" t="s">
        <v>181</v>
      </c>
      <c r="G82" t="s">
        <v>127</v>
      </c>
    </row>
    <row r="83" spans="1:18" x14ac:dyDescent="0.2">
      <c r="A83" t="s">
        <v>87</v>
      </c>
      <c r="B83" t="s">
        <v>5</v>
      </c>
      <c r="C83">
        <v>394.94099999999997</v>
      </c>
      <c r="D83" t="s">
        <v>17</v>
      </c>
      <c r="E83" t="s">
        <v>161</v>
      </c>
      <c r="F83" t="s">
        <v>181</v>
      </c>
      <c r="G83" t="s">
        <v>128</v>
      </c>
    </row>
    <row r="84" spans="1:18" x14ac:dyDescent="0.2">
      <c r="A84" t="s">
        <v>88</v>
      </c>
      <c r="B84" t="s">
        <v>5</v>
      </c>
      <c r="C84">
        <v>394.94099999999997</v>
      </c>
      <c r="D84" t="s">
        <v>17</v>
      </c>
      <c r="E84" t="s">
        <v>162</v>
      </c>
      <c r="F84" t="s">
        <v>181</v>
      </c>
      <c r="G84" t="s">
        <v>129</v>
      </c>
    </row>
    <row r="85" spans="1:18" x14ac:dyDescent="0.2">
      <c r="A85" t="s">
        <v>89</v>
      </c>
      <c r="B85" t="s">
        <v>5</v>
      </c>
      <c r="C85">
        <v>394.94099999999997</v>
      </c>
      <c r="D85" t="s">
        <v>17</v>
      </c>
      <c r="E85" t="s">
        <v>163</v>
      </c>
      <c r="F85" t="s">
        <v>181</v>
      </c>
      <c r="G85" t="s">
        <v>130</v>
      </c>
    </row>
    <row r="86" spans="1:18" x14ac:dyDescent="0.2">
      <c r="A86" t="s">
        <v>90</v>
      </c>
      <c r="B86" t="s">
        <v>5</v>
      </c>
      <c r="C86">
        <v>394.94099999999997</v>
      </c>
      <c r="D86">
        <v>32.229999999999997</v>
      </c>
      <c r="E86" t="s">
        <v>164</v>
      </c>
      <c r="F86" t="s">
        <v>180</v>
      </c>
      <c r="G86" t="s">
        <v>131</v>
      </c>
      <c r="J86">
        <f>(D86-39.215)/-3.0378</f>
        <v>2.2993613799460157</v>
      </c>
      <c r="Q86">
        <f>POWER(10, J86)</f>
        <v>199.23304837165753</v>
      </c>
      <c r="R86">
        <f>Q86/0.25</f>
        <v>796.93219348663013</v>
      </c>
    </row>
    <row r="87" spans="1:18" x14ac:dyDescent="0.2">
      <c r="A87" t="s">
        <v>91</v>
      </c>
      <c r="B87" t="s">
        <v>5</v>
      </c>
      <c r="C87">
        <v>394.94099999999997</v>
      </c>
      <c r="D87">
        <v>30.95</v>
      </c>
      <c r="E87" t="s">
        <v>165</v>
      </c>
      <c r="F87" t="s">
        <v>180</v>
      </c>
      <c r="G87" t="s">
        <v>132</v>
      </c>
      <c r="J87">
        <f t="shared" ref="J87:J91" si="23">(D87-39.215)/-3.0378</f>
        <v>2.7207189413391286</v>
      </c>
      <c r="Q87">
        <f t="shared" ref="Q87:Q91" si="24">POWER(10, J87)</f>
        <v>525.67695840560907</v>
      </c>
      <c r="R87">
        <f t="shared" ref="R87:R91" si="25">Q87/0.25</f>
        <v>2102.7078336224363</v>
      </c>
    </row>
    <row r="88" spans="1:18" x14ac:dyDescent="0.2">
      <c r="A88" t="s">
        <v>92</v>
      </c>
      <c r="B88" t="s">
        <v>5</v>
      </c>
      <c r="C88">
        <v>394.94099999999997</v>
      </c>
      <c r="D88">
        <v>30.38</v>
      </c>
      <c r="E88" t="s">
        <v>166</v>
      </c>
      <c r="F88" t="s">
        <v>180</v>
      </c>
      <c r="G88" t="s">
        <v>133</v>
      </c>
      <c r="J88">
        <f t="shared" si="23"/>
        <v>2.9083547303969994</v>
      </c>
      <c r="Q88">
        <f t="shared" si="24"/>
        <v>809.75703619076683</v>
      </c>
      <c r="R88">
        <f t="shared" si="25"/>
        <v>3239.0281447630673</v>
      </c>
    </row>
    <row r="89" spans="1:18" x14ac:dyDescent="0.2">
      <c r="A89" t="s">
        <v>93</v>
      </c>
      <c r="B89" t="s">
        <v>5</v>
      </c>
      <c r="C89">
        <v>394.94099999999997</v>
      </c>
      <c r="D89">
        <v>30.72</v>
      </c>
      <c r="E89" t="s">
        <v>167</v>
      </c>
      <c r="F89" t="s">
        <v>180</v>
      </c>
      <c r="G89" t="s">
        <v>134</v>
      </c>
      <c r="J89">
        <f t="shared" si="23"/>
        <v>2.7964316281519537</v>
      </c>
      <c r="Q89">
        <f t="shared" si="24"/>
        <v>625.79433611320087</v>
      </c>
      <c r="R89">
        <f t="shared" si="25"/>
        <v>2503.1773444528035</v>
      </c>
    </row>
    <row r="90" spans="1:18" x14ac:dyDescent="0.2">
      <c r="A90" t="s">
        <v>94</v>
      </c>
      <c r="B90" t="s">
        <v>5</v>
      </c>
      <c r="C90">
        <v>394.94099999999997</v>
      </c>
      <c r="D90">
        <v>30.15</v>
      </c>
      <c r="E90" t="s">
        <v>168</v>
      </c>
      <c r="F90" t="s">
        <v>180</v>
      </c>
      <c r="G90" t="s">
        <v>135</v>
      </c>
      <c r="J90">
        <f t="shared" si="23"/>
        <v>2.9840674172098245</v>
      </c>
      <c r="Q90">
        <f t="shared" si="24"/>
        <v>963.9786541395174</v>
      </c>
      <c r="R90">
        <f t="shared" si="25"/>
        <v>3855.9146165580696</v>
      </c>
    </row>
    <row r="91" spans="1:18" x14ac:dyDescent="0.2">
      <c r="A91" t="s">
        <v>95</v>
      </c>
      <c r="B91" t="s">
        <v>5</v>
      </c>
      <c r="C91">
        <v>394.94099999999997</v>
      </c>
      <c r="D91">
        <v>29.69</v>
      </c>
      <c r="E91" t="s">
        <v>169</v>
      </c>
      <c r="F91" t="s">
        <v>180</v>
      </c>
      <c r="G91" t="s">
        <v>136</v>
      </c>
      <c r="J91">
        <f t="shared" si="23"/>
        <v>3.1354927908354737</v>
      </c>
      <c r="Q91">
        <f t="shared" si="24"/>
        <v>1366.1323980940431</v>
      </c>
      <c r="R91">
        <f t="shared" si="25"/>
        <v>5464.5295923761723</v>
      </c>
    </row>
    <row r="92" spans="1:18" x14ac:dyDescent="0.2">
      <c r="A92" t="s">
        <v>96</v>
      </c>
      <c r="B92" t="s">
        <v>5</v>
      </c>
      <c r="C92">
        <v>394.94099999999997</v>
      </c>
      <c r="D92">
        <v>34.06</v>
      </c>
      <c r="E92" t="s">
        <v>170</v>
      </c>
      <c r="F92" t="s">
        <v>147</v>
      </c>
      <c r="G92" t="s">
        <v>137</v>
      </c>
    </row>
    <row r="93" spans="1:18" x14ac:dyDescent="0.2">
      <c r="A93" t="s">
        <v>97</v>
      </c>
      <c r="B93" t="s">
        <v>5</v>
      </c>
      <c r="C93">
        <v>394.94099999999997</v>
      </c>
      <c r="D93">
        <v>33.57</v>
      </c>
      <c r="E93" t="s">
        <v>171</v>
      </c>
      <c r="F93" t="s">
        <v>147</v>
      </c>
      <c r="G93" t="s">
        <v>138</v>
      </c>
    </row>
    <row r="94" spans="1:18" x14ac:dyDescent="0.2">
      <c r="A94" t="s">
        <v>98</v>
      </c>
      <c r="B94" t="s">
        <v>5</v>
      </c>
      <c r="C94">
        <v>394.94099999999997</v>
      </c>
      <c r="D94" t="s">
        <v>17</v>
      </c>
      <c r="E94" t="s">
        <v>172</v>
      </c>
      <c r="F94" t="s">
        <v>147</v>
      </c>
      <c r="G94" t="s">
        <v>139</v>
      </c>
    </row>
    <row r="95" spans="1:18" x14ac:dyDescent="0.2">
      <c r="A95" t="s">
        <v>99</v>
      </c>
      <c r="B95" t="s">
        <v>5</v>
      </c>
      <c r="C95">
        <v>394.94099999999997</v>
      </c>
      <c r="D95" t="s">
        <v>17</v>
      </c>
      <c r="E95" t="s">
        <v>173</v>
      </c>
      <c r="F95" t="s">
        <v>147</v>
      </c>
      <c r="G95" t="s">
        <v>140</v>
      </c>
    </row>
    <row r="96" spans="1:18" x14ac:dyDescent="0.2">
      <c r="A96" t="s">
        <v>100</v>
      </c>
      <c r="B96" t="s">
        <v>5</v>
      </c>
      <c r="C96">
        <v>394.94099999999997</v>
      </c>
      <c r="D96">
        <v>34.15</v>
      </c>
      <c r="E96" t="s">
        <v>174</v>
      </c>
      <c r="F96" t="s">
        <v>147</v>
      </c>
      <c r="G96" t="s">
        <v>141</v>
      </c>
    </row>
    <row r="97" spans="1:7" x14ac:dyDescent="0.2">
      <c r="A97" t="s">
        <v>101</v>
      </c>
      <c r="B97" t="s">
        <v>5</v>
      </c>
      <c r="C97">
        <v>394.94099999999997</v>
      </c>
      <c r="D97" t="s">
        <v>17</v>
      </c>
      <c r="E97" t="s">
        <v>175</v>
      </c>
      <c r="F97" t="s">
        <v>147</v>
      </c>
      <c r="G97" t="s">
        <v>142</v>
      </c>
    </row>
  </sheetData>
  <phoneticPr fontId="19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CF83-8C71-AD40-9B43-38F512921E01}">
  <dimension ref="A1:D25"/>
  <sheetViews>
    <sheetView tabSelected="1" workbookViewId="0">
      <selection activeCell="F15" sqref="F15"/>
    </sheetView>
  </sheetViews>
  <sheetFormatPr baseColWidth="10" defaultRowHeight="15" x14ac:dyDescent="0.2"/>
  <sheetData>
    <row r="1" spans="1:4" x14ac:dyDescent="0.2">
      <c r="A1" t="s">
        <v>179</v>
      </c>
      <c r="B1" t="s">
        <v>182</v>
      </c>
      <c r="C1" t="s">
        <v>183</v>
      </c>
      <c r="D1" t="s">
        <v>184</v>
      </c>
    </row>
    <row r="2" spans="1:4" x14ac:dyDescent="0.2">
      <c r="A2" t="s">
        <v>147</v>
      </c>
      <c r="B2" s="3" t="s">
        <v>170</v>
      </c>
      <c r="C2">
        <v>0</v>
      </c>
      <c r="D2">
        <v>10</v>
      </c>
    </row>
    <row r="3" spans="1:4" x14ac:dyDescent="0.2">
      <c r="A3" t="s">
        <v>147</v>
      </c>
      <c r="B3" s="3" t="s">
        <v>171</v>
      </c>
      <c r="C3">
        <v>0</v>
      </c>
      <c r="D3">
        <v>10</v>
      </c>
    </row>
    <row r="4" spans="1:4" x14ac:dyDescent="0.2">
      <c r="A4" t="s">
        <v>147</v>
      </c>
      <c r="B4" s="3" t="s">
        <v>172</v>
      </c>
      <c r="C4">
        <v>0</v>
      </c>
      <c r="D4">
        <v>10</v>
      </c>
    </row>
    <row r="5" spans="1:4" x14ac:dyDescent="0.2">
      <c r="A5" t="s">
        <v>147</v>
      </c>
      <c r="B5" s="3" t="s">
        <v>173</v>
      </c>
      <c r="C5">
        <v>0</v>
      </c>
      <c r="D5">
        <v>10</v>
      </c>
    </row>
    <row r="6" spans="1:4" x14ac:dyDescent="0.2">
      <c r="A6" t="s">
        <v>147</v>
      </c>
      <c r="B6" s="3" t="s">
        <v>174</v>
      </c>
      <c r="C6">
        <v>0</v>
      </c>
      <c r="D6">
        <v>10</v>
      </c>
    </row>
    <row r="7" spans="1:4" x14ac:dyDescent="0.2">
      <c r="A7" t="s">
        <v>147</v>
      </c>
      <c r="B7" s="3" t="s">
        <v>175</v>
      </c>
      <c r="C7">
        <v>0</v>
      </c>
      <c r="D7">
        <v>10</v>
      </c>
    </row>
    <row r="8" spans="1:4" x14ac:dyDescent="0.2">
      <c r="A8" t="s">
        <v>148</v>
      </c>
      <c r="B8" t="s">
        <v>152</v>
      </c>
      <c r="C8">
        <v>1094.1902230463891</v>
      </c>
      <c r="D8">
        <v>10</v>
      </c>
    </row>
    <row r="9" spans="1:4" x14ac:dyDescent="0.2">
      <c r="A9" t="s">
        <v>148</v>
      </c>
      <c r="B9" t="s">
        <v>153</v>
      </c>
      <c r="C9">
        <v>22671.752393071791</v>
      </c>
      <c r="D9">
        <v>10</v>
      </c>
    </row>
    <row r="10" spans="1:4" x14ac:dyDescent="0.2">
      <c r="A10" t="s">
        <v>148</v>
      </c>
      <c r="B10" t="s">
        <v>154</v>
      </c>
      <c r="C10">
        <v>848.33535316539974</v>
      </c>
      <c r="D10">
        <v>10</v>
      </c>
    </row>
    <row r="11" spans="1:4" x14ac:dyDescent="0.2">
      <c r="A11" t="s">
        <v>148</v>
      </c>
      <c r="B11" t="s">
        <v>155</v>
      </c>
      <c r="C11">
        <v>2634.3171766710657</v>
      </c>
      <c r="D11">
        <v>10</v>
      </c>
    </row>
    <row r="12" spans="1:4" x14ac:dyDescent="0.2">
      <c r="A12" t="s">
        <v>148</v>
      </c>
      <c r="B12" t="s">
        <v>156</v>
      </c>
      <c r="C12">
        <v>1364.7599663854678</v>
      </c>
      <c r="D12">
        <v>10</v>
      </c>
    </row>
    <row r="13" spans="1:4" x14ac:dyDescent="0.2">
      <c r="A13" t="s">
        <v>148</v>
      </c>
      <c r="B13" t="s">
        <v>157</v>
      </c>
      <c r="C13">
        <v>304.90925364475351</v>
      </c>
      <c r="D13">
        <v>10</v>
      </c>
    </row>
    <row r="14" spans="1:4" x14ac:dyDescent="0.2">
      <c r="A14" t="s">
        <v>181</v>
      </c>
      <c r="B14" t="s">
        <v>158</v>
      </c>
      <c r="C14">
        <v>0</v>
      </c>
      <c r="D14">
        <v>10</v>
      </c>
    </row>
    <row r="15" spans="1:4" x14ac:dyDescent="0.2">
      <c r="A15" t="s">
        <v>181</v>
      </c>
      <c r="B15" t="s">
        <v>159</v>
      </c>
      <c r="C15">
        <v>0</v>
      </c>
      <c r="D15">
        <v>10</v>
      </c>
    </row>
    <row r="16" spans="1:4" x14ac:dyDescent="0.2">
      <c r="A16" t="s">
        <v>181</v>
      </c>
      <c r="B16" t="s">
        <v>160</v>
      </c>
      <c r="C16">
        <v>0</v>
      </c>
      <c r="D16">
        <v>10</v>
      </c>
    </row>
    <row r="17" spans="1:4" x14ac:dyDescent="0.2">
      <c r="A17" t="s">
        <v>181</v>
      </c>
      <c r="B17" t="s">
        <v>161</v>
      </c>
      <c r="C17">
        <v>0</v>
      </c>
      <c r="D17">
        <v>10</v>
      </c>
    </row>
    <row r="18" spans="1:4" x14ac:dyDescent="0.2">
      <c r="A18" t="s">
        <v>181</v>
      </c>
      <c r="B18" t="s">
        <v>162</v>
      </c>
      <c r="C18">
        <v>0</v>
      </c>
      <c r="D18">
        <v>10</v>
      </c>
    </row>
    <row r="19" spans="1:4" x14ac:dyDescent="0.2">
      <c r="A19" t="s">
        <v>181</v>
      </c>
      <c r="B19" t="s">
        <v>163</v>
      </c>
      <c r="C19">
        <v>0</v>
      </c>
      <c r="D19">
        <v>10</v>
      </c>
    </row>
    <row r="20" spans="1:4" x14ac:dyDescent="0.2">
      <c r="A20" t="s">
        <v>180</v>
      </c>
      <c r="B20" t="s">
        <v>164</v>
      </c>
      <c r="C20">
        <v>1243.8876912803782</v>
      </c>
      <c r="D20">
        <v>10</v>
      </c>
    </row>
    <row r="21" spans="1:4" x14ac:dyDescent="0.2">
      <c r="A21" t="s">
        <v>180</v>
      </c>
      <c r="B21" t="s">
        <v>165</v>
      </c>
      <c r="C21">
        <v>1880.4977919872083</v>
      </c>
      <c r="D21">
        <v>10</v>
      </c>
    </row>
    <row r="22" spans="1:4" x14ac:dyDescent="0.2">
      <c r="A22" t="s">
        <v>180</v>
      </c>
      <c r="B22" t="s">
        <v>166</v>
      </c>
      <c r="C22">
        <v>2476.1886678896844</v>
      </c>
      <c r="D22">
        <v>10</v>
      </c>
    </row>
    <row r="23" spans="1:4" x14ac:dyDescent="0.2">
      <c r="A23" t="s">
        <v>180</v>
      </c>
      <c r="B23" t="s">
        <v>167</v>
      </c>
      <c r="C23">
        <v>2383.2623304468693</v>
      </c>
      <c r="D23">
        <v>10</v>
      </c>
    </row>
    <row r="24" spans="1:4" x14ac:dyDescent="0.2">
      <c r="A24" t="s">
        <v>180</v>
      </c>
      <c r="B24" t="s">
        <v>168</v>
      </c>
      <c r="C24">
        <v>3708.7830668669408</v>
      </c>
      <c r="D24">
        <v>10</v>
      </c>
    </row>
    <row r="25" spans="1:4" x14ac:dyDescent="0.2">
      <c r="A25" t="s">
        <v>180</v>
      </c>
      <c r="B25" t="s">
        <v>169</v>
      </c>
      <c r="C25">
        <v>6680.5888252106415</v>
      </c>
      <c r="D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phili, SYBR Green, 08-13-2025, </vt:lpstr>
      <vt:lpstr>ToPlot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Weyman</dc:creator>
  <cp:lastModifiedBy>Cliff Bueno de Mesquita</cp:lastModifiedBy>
  <dcterms:created xsi:type="dcterms:W3CDTF">2025-08-13T19:41:34Z</dcterms:created>
  <dcterms:modified xsi:type="dcterms:W3CDTF">2025-08-14T23:42:40Z</dcterms:modified>
</cp:coreProperties>
</file>